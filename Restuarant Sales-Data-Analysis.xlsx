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0dd6697c0dc535ec/文档/Excel project Restuarant/"/>
    </mc:Choice>
  </mc:AlternateContent>
  <xr:revisionPtr revIDLastSave="7" documentId="8_{465E0BA6-62EB-4D23-B6B9-56375F533C59}" xr6:coauthVersionLast="47" xr6:coauthVersionMax="47" xr10:uidLastSave="{65CF5D2B-F256-48B7-AB03-4D4D865AF438}"/>
  <bookViews>
    <workbookView xWindow="-108" yWindow="-108" windowWidth="23256" windowHeight="12456" firstSheet="2" activeTab="3" xr2:uid="{71DEA85E-5BA2-4450-A76E-0179A5375548}"/>
  </bookViews>
  <sheets>
    <sheet name="Raw Data" sheetId="1" r:id="rId1"/>
    <sheet name="Cleaned Data" sheetId="2" r:id="rId2"/>
    <sheet name="Changelog" sheetId="14" r:id="rId3"/>
    <sheet name="Analysis" sheetId="19" r:id="rId4"/>
    <sheet name="Charts" sheetId="18" r:id="rId5"/>
    <sheet name="Dashboard" sheetId="8" r:id="rId6"/>
    <sheet name="INSIGHTS" sheetId="15" r:id="rId7"/>
  </sheets>
  <definedNames>
    <definedName name="Slicer_City">#N/A</definedName>
    <definedName name="Slicer_Month">#N/A</definedName>
    <definedName name="Slicer_Payment_Method">#N/A</definedName>
    <definedName name="Slicer_Product1">#N/A</definedName>
    <definedName name="Slicer_Purchase_Typ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6" i="2" l="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 i="2"/>
</calcChain>
</file>

<file path=xl/sharedStrings.xml><?xml version="1.0" encoding="utf-8"?>
<sst xmlns="http://schemas.openxmlformats.org/spreadsheetml/2006/main" count="2620" uniqueCount="64">
  <si>
    <t>Order ID</t>
  </si>
  <si>
    <t>Date</t>
  </si>
  <si>
    <t>Product</t>
  </si>
  <si>
    <t>Price</t>
  </si>
  <si>
    <t>Quantity</t>
  </si>
  <si>
    <t>Purchase Type</t>
  </si>
  <si>
    <t>Payment Method</t>
  </si>
  <si>
    <t>Manager</t>
  </si>
  <si>
    <t>City</t>
  </si>
  <si>
    <t>Fries</t>
  </si>
  <si>
    <t xml:space="preserve">Online </t>
  </si>
  <si>
    <t xml:space="preserve"> Gift Card</t>
  </si>
  <si>
    <t>Tom      Jackson</t>
  </si>
  <si>
    <t>London</t>
  </si>
  <si>
    <t>Beverages</t>
  </si>
  <si>
    <t xml:space="preserve">       Pablo Perez</t>
  </si>
  <si>
    <t>Madrid</t>
  </si>
  <si>
    <t>Sides &amp; Other</t>
  </si>
  <si>
    <t xml:space="preserve">In-store </t>
  </si>
  <si>
    <t>Joao    Silva</t>
  </si>
  <si>
    <t>Lisbon</t>
  </si>
  <si>
    <t>Burgers</t>
  </si>
  <si>
    <t xml:space="preserve"> Credit Card</t>
  </si>
  <si>
    <t>Walter Muller</t>
  </si>
  <si>
    <t>Berlin</t>
  </si>
  <si>
    <t>Chicken Sandwiches</t>
  </si>
  <si>
    <t>Remy    Monet</t>
  </si>
  <si>
    <t>Paris</t>
  </si>
  <si>
    <t>Remy Monet</t>
  </si>
  <si>
    <t xml:space="preserve">       Remy Monet</t>
  </si>
  <si>
    <t>Remy     Monet</t>
  </si>
  <si>
    <t>Pablo Perez</t>
  </si>
  <si>
    <t>Pablo   Perez</t>
  </si>
  <si>
    <t>Pablo  Perez</t>
  </si>
  <si>
    <t>Pablo    Perez</t>
  </si>
  <si>
    <t>Joao Silva</t>
  </si>
  <si>
    <t xml:space="preserve">Drive-thru </t>
  </si>
  <si>
    <t xml:space="preserve"> Cash</t>
  </si>
  <si>
    <t>Tom Jackson</t>
  </si>
  <si>
    <t>Row Labels</t>
  </si>
  <si>
    <t>Grand Total</t>
  </si>
  <si>
    <t>21-Dec</t>
  </si>
  <si>
    <t>22-Dec</t>
  </si>
  <si>
    <t>24-Dec</t>
  </si>
  <si>
    <t>25-Dec</t>
  </si>
  <si>
    <t>26-Dec</t>
  </si>
  <si>
    <t>27-Dec</t>
  </si>
  <si>
    <t>28-Dec</t>
  </si>
  <si>
    <t>29-Dec</t>
  </si>
  <si>
    <t>Month</t>
  </si>
  <si>
    <t>Sum of Total Sale</t>
  </si>
  <si>
    <t>Sum of Quantity</t>
  </si>
  <si>
    <t xml:space="preserve">  </t>
  </si>
  <si>
    <t xml:space="preserve"> </t>
  </si>
  <si>
    <t>Total Sales</t>
  </si>
  <si>
    <t>Total orders</t>
  </si>
  <si>
    <t>20-Dec</t>
  </si>
  <si>
    <t>23-Dec</t>
  </si>
  <si>
    <t>Sales Trend</t>
  </si>
  <si>
    <t>Sales by Manager</t>
  </si>
  <si>
    <t>Purchace Type</t>
  </si>
  <si>
    <t>Sales by City</t>
  </si>
  <si>
    <t>Product Quantity</t>
  </si>
  <si>
    <t>Total Sale by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</si>
</sst>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09]\ #,##0"/>
    <numFmt numFmtId="165" formatCode="[$₹-4009]\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sz val="11"/>
      <color rgb="FFFFFFFF"/>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0" fontId="0" fillId="0" borderId="10" xfId="0" applyBorder="1"/>
    <xf numFmtId="14" fontId="0" fillId="0" borderId="10" xfId="0" applyNumberFormat="1" applyBorder="1"/>
    <xf numFmtId="164" fontId="0" fillId="0" borderId="10" xfId="0" applyNumberFormat="1" applyBorder="1"/>
    <xf numFmtId="164" fontId="0" fillId="0" borderId="0" xfId="0" applyNumberFormat="1"/>
    <xf numFmtId="165" fontId="0" fillId="0" borderId="10" xfId="0" applyNumberFormat="1" applyBorder="1"/>
    <xf numFmtId="165" fontId="0" fillId="0" borderId="0" xfId="0" applyNumberFormat="1"/>
    <xf numFmtId="1" fontId="0" fillId="0" borderId="10" xfId="0" applyNumberFormat="1" applyBorder="1"/>
    <xf numFmtId="1" fontId="0" fillId="0" borderId="0" xfId="0" applyNumberFormat="1"/>
    <xf numFmtId="0" fontId="18" fillId="33" borderId="10" xfId="0" applyFont="1" applyFill="1" applyBorder="1"/>
    <xf numFmtId="14" fontId="18" fillId="33" borderId="10" xfId="0" applyNumberFormat="1" applyFont="1" applyFill="1" applyBorder="1"/>
    <xf numFmtId="165" fontId="18" fillId="33" borderId="10" xfId="0" applyNumberFormat="1" applyFont="1" applyFill="1" applyBorder="1"/>
    <xf numFmtId="1" fontId="18" fillId="33" borderId="10" xfId="0" applyNumberFormat="1" applyFont="1" applyFill="1" applyBorder="1"/>
    <xf numFmtId="164" fontId="18" fillId="33" borderId="10" xfId="0" applyNumberFormat="1" applyFont="1" applyFill="1" applyBorder="1"/>
    <xf numFmtId="0" fontId="0" fillId="0" borderId="0" xfId="0" pivotButton="1"/>
    <xf numFmtId="0" fontId="0" fillId="0" borderId="0" xfId="0" applyAlignment="1">
      <alignment horizontal="left"/>
    </xf>
    <xf numFmtId="0" fontId="0" fillId="0" borderId="0" xfId="0" applyAlignment="1">
      <alignment vertical="top"/>
    </xf>
    <xf numFmtId="0" fontId="19" fillId="0" borderId="0" xfId="0" applyFont="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7.3111111111111057E-2"/>
              <c:y val="-6.7094998541848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7.8666666666666718E-2"/>
              <c:y val="-5.32061096529600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7.5888888888888936E-2"/>
              <c:y val="5.7905001458151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7.3111111111111057E-2"/>
              <c:y val="-6.7094998541848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6.4777777777777878E-2"/>
              <c:y val="6.7164260717410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6.7555555555555549E-2"/>
              <c:y val="7.1793890347039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2.0293088363954607E-2"/>
              <c:y val="4.8645742198891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8.6999999999999994E-2"/>
              <c:y val="5.7905001458151063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dLbl>
          <c:idx val="0"/>
          <c:layout>
            <c:manualLayout>
              <c:x val="-7.8666666666666718E-2"/>
              <c:y val="-5.32061096529600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spPr>
          <a:solidFill>
            <a:schemeClr val="accent1"/>
          </a:solidFill>
          <a:ln w="28575" cap="rnd">
            <a:solidFill>
              <a:schemeClr val="accent1"/>
            </a:solidFill>
            <a:round/>
          </a:ln>
          <a:effectLst/>
        </c:spPr>
        <c:marker>
          <c:symbol val="none"/>
        </c:marker>
        <c:dLbl>
          <c:idx val="0"/>
          <c:layout>
            <c:manualLayout>
              <c:x val="-7.5888888888888936E-2"/>
              <c:y val="5.7905001458151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layout>
            <c:manualLayout>
              <c:x val="-6.4777777777777878E-2"/>
              <c:y val="6.7164260717410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layout>
            <c:manualLayout>
              <c:x val="-6.7555555555555549E-2"/>
              <c:y val="7.1793890347039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layout>
            <c:manualLayout>
              <c:x val="-2.0293088363954607E-2"/>
              <c:y val="4.8645742198891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pivotFmt>
      <c:pivotFmt>
        <c:idx val="17"/>
        <c:spPr>
          <a:solidFill>
            <a:schemeClr val="accent1"/>
          </a:solidFill>
          <a:ln w="28575" cap="rnd">
            <a:solidFill>
              <a:schemeClr val="accent1"/>
            </a:solidFill>
            <a:round/>
          </a:ln>
          <a:effectLst/>
        </c:spPr>
        <c:marker>
          <c:symbol val="none"/>
        </c:marker>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pivotFmt>
      <c:pivotFmt>
        <c:idx val="20"/>
        <c:spPr>
          <a:solidFill>
            <a:schemeClr val="accent1"/>
          </a:solidFill>
          <a:ln w="28575" cap="rnd">
            <a:solidFill>
              <a:schemeClr val="accent1"/>
            </a:solidFill>
            <a:round/>
          </a:ln>
          <a:effectLst/>
        </c:spPr>
        <c:marker>
          <c:symbol val="none"/>
        </c:marker>
        <c:dLbl>
          <c:idx val="0"/>
          <c:layout>
            <c:manualLayout>
              <c:x val="-7.8666666666666718E-2"/>
              <c:y val="-5.32061096529600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layout>
            <c:manualLayout>
              <c:x val="-7.5888888888888936E-2"/>
              <c:y val="5.7905001458151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pivotFmt>
      <c:pivotFmt>
        <c:idx val="23"/>
        <c:spPr>
          <a:solidFill>
            <a:schemeClr val="accent1"/>
          </a:solidFill>
          <a:ln w="28575" cap="rnd">
            <a:solidFill>
              <a:schemeClr val="accent1"/>
            </a:solidFill>
            <a:round/>
          </a:ln>
          <a:effectLst/>
        </c:spPr>
        <c:marker>
          <c:symbol val="none"/>
        </c:marker>
        <c:dLbl>
          <c:idx val="0"/>
          <c:layout>
            <c:manualLayout>
              <c:x val="-7.3111111111111057E-2"/>
              <c:y val="-6.7094998541848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layout>
            <c:manualLayout>
              <c:x val="-6.4777777777777878E-2"/>
              <c:y val="6.7164260717410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layout>
            <c:manualLayout>
              <c:x val="-6.7555555555555549E-2"/>
              <c:y val="7.1793890347039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layout>
            <c:manualLayout>
              <c:x val="-2.0293088363954607E-2"/>
              <c:y val="4.8645742198891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pivotFmt>
      <c:pivotFmt>
        <c:idx val="29"/>
        <c:spPr>
          <a:ln w="28575" cap="rnd">
            <a:solidFill>
              <a:schemeClr val="accent1"/>
            </a:solidFill>
            <a:round/>
          </a:ln>
          <a:effectLst/>
        </c:spPr>
        <c:marker>
          <c:symbol val="none"/>
        </c:marker>
        <c:dLbl>
          <c:idx val="0"/>
          <c:layout>
            <c:manualLayout>
              <c:x val="-7.8666666666666718E-2"/>
              <c:y val="-5.32061096529600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layout>
            <c:manualLayout>
              <c:x val="-7.5888888888888936E-2"/>
              <c:y val="5.7905001458151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pivotFmt>
      <c:pivotFmt>
        <c:idx val="32"/>
        <c:spPr>
          <a:ln w="28575" cap="rnd">
            <a:solidFill>
              <a:schemeClr val="accent1"/>
            </a:solidFill>
            <a:round/>
          </a:ln>
          <a:effectLst/>
        </c:spPr>
        <c:marker>
          <c:symbol val="none"/>
        </c:marker>
        <c:dLbl>
          <c:idx val="0"/>
          <c:layout>
            <c:manualLayout>
              <c:x val="-7.3111111111111057E-2"/>
              <c:y val="-6.7094998541848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layout>
            <c:manualLayout>
              <c:x val="-6.4777777777777878E-2"/>
              <c:y val="6.7164260717410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layout>
            <c:manualLayout>
              <c:x val="-6.7555555555555549E-2"/>
              <c:y val="7.1793890347039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layout>
            <c:manualLayout>
              <c:x val="-2.0293088363954607E-2"/>
              <c:y val="4.8645742198891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0-8461-4A65-8E70-2EA008D2AE6B}"/>
              </c:ext>
            </c:extLst>
          </c:dPt>
          <c:dPt>
            <c:idx val="1"/>
            <c:marker>
              <c:symbol val="none"/>
            </c:marker>
            <c:bubble3D val="0"/>
            <c:extLst>
              <c:ext xmlns:c16="http://schemas.microsoft.com/office/drawing/2014/chart" uri="{C3380CC4-5D6E-409C-BE32-E72D297353CC}">
                <c16:uniqueId val="{00000001-8461-4A65-8E70-2EA008D2AE6B}"/>
              </c:ext>
            </c:extLst>
          </c:dPt>
          <c:dPt>
            <c:idx val="2"/>
            <c:marker>
              <c:symbol val="none"/>
            </c:marker>
            <c:bubble3D val="0"/>
            <c:extLst>
              <c:ext xmlns:c16="http://schemas.microsoft.com/office/drawing/2014/chart" uri="{C3380CC4-5D6E-409C-BE32-E72D297353CC}">
                <c16:uniqueId val="{00000002-8461-4A65-8E70-2EA008D2AE6B}"/>
              </c:ext>
            </c:extLst>
          </c:dPt>
          <c:dPt>
            <c:idx val="3"/>
            <c:marker>
              <c:symbol val="none"/>
            </c:marker>
            <c:bubble3D val="0"/>
            <c:extLst>
              <c:ext xmlns:c16="http://schemas.microsoft.com/office/drawing/2014/chart" uri="{C3380CC4-5D6E-409C-BE32-E72D297353CC}">
                <c16:uniqueId val="{00000003-8461-4A65-8E70-2EA008D2AE6B}"/>
              </c:ext>
            </c:extLst>
          </c:dPt>
          <c:dPt>
            <c:idx val="4"/>
            <c:marker>
              <c:symbol val="none"/>
            </c:marker>
            <c:bubble3D val="0"/>
            <c:extLst>
              <c:ext xmlns:c16="http://schemas.microsoft.com/office/drawing/2014/chart" uri="{C3380CC4-5D6E-409C-BE32-E72D297353CC}">
                <c16:uniqueId val="{00000004-8461-4A65-8E70-2EA008D2AE6B}"/>
              </c:ext>
            </c:extLst>
          </c:dPt>
          <c:dPt>
            <c:idx val="5"/>
            <c:marker>
              <c:symbol val="none"/>
            </c:marker>
            <c:bubble3D val="0"/>
            <c:extLst>
              <c:ext xmlns:c16="http://schemas.microsoft.com/office/drawing/2014/chart" uri="{C3380CC4-5D6E-409C-BE32-E72D297353CC}">
                <c16:uniqueId val="{00000005-8461-4A65-8E70-2EA008D2AE6B}"/>
              </c:ext>
            </c:extLst>
          </c:dPt>
          <c:dPt>
            <c:idx val="7"/>
            <c:marker>
              <c:symbol val="none"/>
            </c:marker>
            <c:bubble3D val="0"/>
            <c:extLst>
              <c:ext xmlns:c16="http://schemas.microsoft.com/office/drawing/2014/chart" uri="{C3380CC4-5D6E-409C-BE32-E72D297353CC}">
                <c16:uniqueId val="{00000006-8461-4A65-8E70-2EA008D2AE6B}"/>
              </c:ext>
            </c:extLst>
          </c:dPt>
          <c:dPt>
            <c:idx val="9"/>
            <c:marker>
              <c:symbol val="none"/>
            </c:marker>
            <c:bubble3D val="0"/>
            <c:extLst>
              <c:ext xmlns:c16="http://schemas.microsoft.com/office/drawing/2014/chart" uri="{C3380CC4-5D6E-409C-BE32-E72D297353CC}">
                <c16:uniqueId val="{00000007-8461-4A65-8E70-2EA008D2AE6B}"/>
              </c:ext>
            </c:extLst>
          </c:dPt>
          <c:dLbls>
            <c:dLbl>
              <c:idx val="1"/>
              <c:layout>
                <c:manualLayout>
                  <c:x val="-7.8666666666666718E-2"/>
                  <c:y val="-5.3206109652960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461-4A65-8E70-2EA008D2AE6B}"/>
                </c:ext>
              </c:extLst>
            </c:dLbl>
            <c:dLbl>
              <c:idx val="2"/>
              <c:layout>
                <c:manualLayout>
                  <c:x val="-7.5888888888888936E-2"/>
                  <c:y val="5.79050014581510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461-4A65-8E70-2EA008D2AE6B}"/>
                </c:ext>
              </c:extLst>
            </c:dLbl>
            <c:dLbl>
              <c:idx val="4"/>
              <c:layout>
                <c:manualLayout>
                  <c:x val="-7.3111111111111057E-2"/>
                  <c:y val="-6.7094998541848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461-4A65-8E70-2EA008D2AE6B}"/>
                </c:ext>
              </c:extLst>
            </c:dLbl>
            <c:dLbl>
              <c:idx val="5"/>
              <c:layout>
                <c:manualLayout>
                  <c:x val="-6.4777777777777878E-2"/>
                  <c:y val="6.71642607174103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461-4A65-8E70-2EA008D2AE6B}"/>
                </c:ext>
              </c:extLst>
            </c:dLbl>
            <c:dLbl>
              <c:idx val="7"/>
              <c:layout>
                <c:manualLayout>
                  <c:x val="-6.7555555555555549E-2"/>
                  <c:y val="7.1793890347039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461-4A65-8E70-2EA008D2AE6B}"/>
                </c:ext>
              </c:extLst>
            </c:dLbl>
            <c:dLbl>
              <c:idx val="9"/>
              <c:layout>
                <c:manualLayout>
                  <c:x val="-2.0293088363954607E-2"/>
                  <c:y val="4.86457421988918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461-4A65-8E70-2EA008D2AE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20-Dec</c:v>
              </c:pt>
              <c:pt idx="1">
                <c:v>21-Dec</c:v>
              </c:pt>
              <c:pt idx="2">
                <c:v>22-Dec</c:v>
              </c:pt>
              <c:pt idx="3">
                <c:v>23-Dec</c:v>
              </c:pt>
              <c:pt idx="4">
                <c:v>24-Dec</c:v>
              </c:pt>
              <c:pt idx="5">
                <c:v>25-Dec</c:v>
              </c:pt>
              <c:pt idx="6">
                <c:v>26-Dec</c:v>
              </c:pt>
              <c:pt idx="7">
                <c:v>27-Dec</c:v>
              </c:pt>
              <c:pt idx="8">
                <c:v>28-Dec</c:v>
              </c:pt>
              <c:pt idx="9">
                <c:v>29-Dec</c:v>
              </c:pt>
            </c:strLit>
          </c:cat>
          <c:val>
            <c:numLit>
              <c:formatCode>General</c:formatCode>
              <c:ptCount val="10"/>
              <c:pt idx="0">
                <c:v>16000.007300000001</c:v>
              </c:pt>
              <c:pt idx="1">
                <c:v>16399.969400000002</c:v>
              </c:pt>
              <c:pt idx="2">
                <c:v>16599.964400000001</c:v>
              </c:pt>
              <c:pt idx="3">
                <c:v>16000.021800000002</c:v>
              </c:pt>
              <c:pt idx="4">
                <c:v>16399.983900000003</c:v>
              </c:pt>
              <c:pt idx="5">
                <c:v>16599.978900000002</c:v>
              </c:pt>
              <c:pt idx="6">
                <c:v>17000.019900000003</c:v>
              </c:pt>
              <c:pt idx="7">
                <c:v>17000.019900000003</c:v>
              </c:pt>
              <c:pt idx="8">
                <c:v>17599.976999999999</c:v>
              </c:pt>
              <c:pt idx="9">
                <c:v>16800.078000000001</c:v>
              </c:pt>
            </c:numLit>
          </c:val>
          <c:smooth val="0"/>
          <c:extLst>
            <c:ext xmlns:c16="http://schemas.microsoft.com/office/drawing/2014/chart" uri="{C3380CC4-5D6E-409C-BE32-E72D297353CC}">
              <c16:uniqueId val="{00000008-8461-4A65-8E70-2EA008D2AE6B}"/>
            </c:ext>
          </c:extLst>
        </c:ser>
        <c:dLbls>
          <c:dLblPos val="t"/>
          <c:showLegendKey val="0"/>
          <c:showVal val="1"/>
          <c:showCatName val="0"/>
          <c:showSerName val="0"/>
          <c:showPercent val="0"/>
          <c:showBubbleSize val="0"/>
        </c:dLbls>
        <c:smooth val="0"/>
        <c:axId val="1485824079"/>
        <c:axId val="1124836207"/>
      </c:lineChart>
      <c:catAx>
        <c:axId val="148582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836207"/>
        <c:crosses val="autoZero"/>
        <c:auto val="1"/>
        <c:lblAlgn val="ctr"/>
        <c:lblOffset val="100"/>
        <c:noMultiLvlLbl val="0"/>
      </c:catAx>
      <c:valAx>
        <c:axId val="112483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82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on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Berlin</c:v>
              </c:pt>
              <c:pt idx="1">
                <c:v>Lisbon</c:v>
              </c:pt>
              <c:pt idx="2">
                <c:v>London</c:v>
              </c:pt>
              <c:pt idx="3">
                <c:v>Madrid</c:v>
              </c:pt>
              <c:pt idx="4">
                <c:v>Paris</c:v>
              </c:pt>
            </c:strLit>
          </c:cat>
          <c:val>
            <c:numLit>
              <c:formatCode>General</c:formatCode>
              <c:ptCount val="5"/>
              <c:pt idx="0">
                <c:v>100600.13129999998</c:v>
              </c:pt>
              <c:pt idx="1">
                <c:v>241714.11570000008</c:v>
              </c:pt>
              <c:pt idx="2">
                <c:v>211201.04059999986</c:v>
              </c:pt>
              <c:pt idx="3">
                <c:v>136200.26649999997</c:v>
              </c:pt>
              <c:pt idx="4">
                <c:v>79800.305099999983</c:v>
              </c:pt>
            </c:numLit>
          </c:val>
          <c:extLst>
            <c:ext xmlns:c16="http://schemas.microsoft.com/office/drawing/2014/chart" uri="{C3380CC4-5D6E-409C-BE32-E72D297353CC}">
              <c16:uniqueId val="{00000000-B5FE-4679-8BC1-BAA62F7B61CA}"/>
            </c:ext>
          </c:extLst>
        </c:ser>
        <c:dLbls>
          <c:dLblPos val="outEnd"/>
          <c:showLegendKey val="0"/>
          <c:showVal val="1"/>
          <c:showCatName val="0"/>
          <c:showSerName val="0"/>
          <c:showPercent val="0"/>
          <c:showBubbleSize val="0"/>
        </c:dLbls>
        <c:gapWidth val="182"/>
        <c:axId val="315242383"/>
        <c:axId val="899026191"/>
      </c:barChart>
      <c:catAx>
        <c:axId val="315242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026191"/>
        <c:crosses val="autoZero"/>
        <c:auto val="1"/>
        <c:lblAlgn val="ctr"/>
        <c:lblOffset val="100"/>
        <c:noMultiLvlLbl val="0"/>
      </c:catAx>
      <c:valAx>
        <c:axId val="899026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242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Beverages</c:v>
              </c:pt>
              <c:pt idx="1">
                <c:v>Burgers</c:v>
              </c:pt>
              <c:pt idx="2">
                <c:v>Chicken Sandwiches</c:v>
              </c:pt>
              <c:pt idx="3">
                <c:v>Fries</c:v>
              </c:pt>
              <c:pt idx="4">
                <c:v>Sides &amp; Other</c:v>
              </c:pt>
            </c:strLit>
          </c:cat>
          <c:val>
            <c:numLit>
              <c:formatCode>General</c:formatCode>
              <c:ptCount val="5"/>
              <c:pt idx="0">
                <c:v>103200.26299999992</c:v>
              </c:pt>
              <c:pt idx="1">
                <c:v>376999.80689999991</c:v>
              </c:pt>
              <c:pt idx="2">
                <c:v>114641.69500000002</c:v>
              </c:pt>
              <c:pt idx="3">
                <c:v>125674.29029999988</c:v>
              </c:pt>
              <c:pt idx="4">
                <c:v>48999.803999999967</c:v>
              </c:pt>
            </c:numLit>
          </c:val>
          <c:extLst>
            <c:ext xmlns:c16="http://schemas.microsoft.com/office/drawing/2014/chart" uri="{C3380CC4-5D6E-409C-BE32-E72D297353CC}">
              <c16:uniqueId val="{00000000-8A54-450D-9FBF-CCAB39A686DC}"/>
            </c:ext>
          </c:extLst>
        </c:ser>
        <c:dLbls>
          <c:dLblPos val="outEnd"/>
          <c:showLegendKey val="0"/>
          <c:showVal val="1"/>
          <c:showCatName val="0"/>
          <c:showSerName val="0"/>
          <c:showPercent val="0"/>
          <c:showBubbleSize val="0"/>
        </c:dLbls>
        <c:gapWidth val="219"/>
        <c:overlap val="-27"/>
        <c:axId val="1120437951"/>
        <c:axId val="898927791"/>
      </c:barChart>
      <c:catAx>
        <c:axId val="112043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927791"/>
        <c:crosses val="autoZero"/>
        <c:auto val="1"/>
        <c:lblAlgn val="ctr"/>
        <c:lblOffset val="100"/>
        <c:noMultiLvlLbl val="0"/>
      </c:catAx>
      <c:valAx>
        <c:axId val="898927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43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Managers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Joao Silva</c:v>
              </c:pt>
              <c:pt idx="1">
                <c:v>Pablo Perez</c:v>
              </c:pt>
              <c:pt idx="2">
                <c:v>Remy Monet</c:v>
              </c:pt>
              <c:pt idx="3">
                <c:v>Tom Jackson</c:v>
              </c:pt>
              <c:pt idx="4">
                <c:v>Walter Muller</c:v>
              </c:pt>
            </c:strLit>
          </c:cat>
          <c:val>
            <c:numLit>
              <c:formatCode>General</c:formatCode>
              <c:ptCount val="5"/>
              <c:pt idx="0">
                <c:v>241714.11570000008</c:v>
              </c:pt>
              <c:pt idx="1">
                <c:v>136200.26649999997</c:v>
              </c:pt>
              <c:pt idx="2">
                <c:v>79800.305099999983</c:v>
              </c:pt>
              <c:pt idx="3">
                <c:v>211201.04059999986</c:v>
              </c:pt>
              <c:pt idx="4">
                <c:v>100600.13129999998</c:v>
              </c:pt>
            </c:numLit>
          </c:val>
          <c:extLst>
            <c:ext xmlns:c16="http://schemas.microsoft.com/office/drawing/2014/chart" uri="{C3380CC4-5D6E-409C-BE32-E72D297353CC}">
              <c16:uniqueId val="{00000000-BA30-482E-BB43-30BD5313FA83}"/>
            </c:ext>
          </c:extLst>
        </c:ser>
        <c:dLbls>
          <c:dLblPos val="outEnd"/>
          <c:showLegendKey val="0"/>
          <c:showVal val="1"/>
          <c:showCatName val="0"/>
          <c:showSerName val="0"/>
          <c:showPercent val="0"/>
          <c:showBubbleSize val="0"/>
        </c:dLbls>
        <c:gapWidth val="219"/>
        <c:overlap val="-27"/>
        <c:axId val="1123007071"/>
        <c:axId val="898980591"/>
      </c:barChart>
      <c:catAx>
        <c:axId val="1123007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980591"/>
        <c:crosses val="autoZero"/>
        <c:auto val="1"/>
        <c:lblAlgn val="ctr"/>
        <c:lblOffset val="100"/>
        <c:noMultiLvlLbl val="0"/>
      </c:catAx>
      <c:valAx>
        <c:axId val="898980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007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Purchase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65000"/>
            </a:schemeClr>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tint val="65000"/>
            </a:schemeClr>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hade val="65000"/>
            </a:schemeClr>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tint val="65000"/>
            </a:schemeClr>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hade val="65000"/>
            </a:schemeClr>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tint val="65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v>Total</c:v>
          </c:tx>
          <c:dPt>
            <c:idx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251-4E39-A8DE-7AB14AB028ED}"/>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251-4E39-A8DE-7AB14AB028ED}"/>
              </c:ext>
            </c:extLst>
          </c:dPt>
          <c:dPt>
            <c:idx val="2"/>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251-4E39-A8DE-7AB14AB028E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3"/>
              <c:pt idx="0">
                <c:v>Drive-thru </c:v>
              </c:pt>
              <c:pt idx="1">
                <c:v>In-store </c:v>
              </c:pt>
              <c:pt idx="2">
                <c:v>Online </c:v>
              </c:pt>
            </c:strLit>
          </c:cat>
          <c:val>
            <c:numLit>
              <c:formatCode>General</c:formatCode>
              <c:ptCount val="3"/>
              <c:pt idx="0">
                <c:v>178600.473</c:v>
              </c:pt>
              <c:pt idx="1">
                <c:v>285713.99940000009</c:v>
              </c:pt>
              <c:pt idx="2">
                <c:v>305201.38679999986</c:v>
              </c:pt>
            </c:numLit>
          </c:val>
          <c:extLst>
            <c:ext xmlns:c16="http://schemas.microsoft.com/office/drawing/2014/chart" uri="{C3380CC4-5D6E-409C-BE32-E72D297353CC}">
              <c16:uniqueId val="{00000006-2251-4E39-A8DE-7AB14AB028E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Product</a:t>
            </a:r>
            <a:r>
              <a:rPr lang="en-GB" baseline="0"/>
              <a:t> Quantity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Beverages</c:v>
              </c:pt>
              <c:pt idx="1">
                <c:v>Burgers</c:v>
              </c:pt>
              <c:pt idx="2">
                <c:v>Chicken Sandwiches</c:v>
              </c:pt>
              <c:pt idx="3">
                <c:v>Fries</c:v>
              </c:pt>
              <c:pt idx="4">
                <c:v>Sides &amp; Other</c:v>
              </c:pt>
            </c:strLit>
          </c:cat>
          <c:val>
            <c:numLit>
              <c:formatCode>General</c:formatCode>
              <c:ptCount val="5"/>
              <c:pt idx="0">
                <c:v>34983.140000000007</c:v>
              </c:pt>
              <c:pt idx="1">
                <c:v>29022.309999999994</c:v>
              </c:pt>
              <c:pt idx="2">
                <c:v>11135.920000000002</c:v>
              </c:pt>
              <c:pt idx="3">
                <c:v>32034.339999999986</c:v>
              </c:pt>
              <c:pt idx="4">
                <c:v>9819.5999999999913</c:v>
              </c:pt>
            </c:numLit>
          </c:val>
          <c:extLst>
            <c:ext xmlns:c16="http://schemas.microsoft.com/office/drawing/2014/chart" uri="{C3380CC4-5D6E-409C-BE32-E72D297353CC}">
              <c16:uniqueId val="{00000000-9473-460A-A0B4-6A1AA69BDEC6}"/>
            </c:ext>
          </c:extLst>
        </c:ser>
        <c:dLbls>
          <c:dLblPos val="outEnd"/>
          <c:showLegendKey val="0"/>
          <c:showVal val="1"/>
          <c:showCatName val="0"/>
          <c:showSerName val="0"/>
          <c:showPercent val="0"/>
          <c:showBubbleSize val="0"/>
        </c:dLbls>
        <c:gapWidth val="182"/>
        <c:axId val="608752336"/>
        <c:axId val="913920656"/>
      </c:barChart>
      <c:catAx>
        <c:axId val="608752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920656"/>
        <c:crosses val="autoZero"/>
        <c:auto val="1"/>
        <c:lblAlgn val="ctr"/>
        <c:lblOffset val="100"/>
        <c:noMultiLvlLbl val="0"/>
      </c:catAx>
      <c:valAx>
        <c:axId val="913920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75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Beverages</c:v>
              </c:pt>
              <c:pt idx="1">
                <c:v>Burgers</c:v>
              </c:pt>
              <c:pt idx="2">
                <c:v>Chicken Sandwiches</c:v>
              </c:pt>
              <c:pt idx="3">
                <c:v>Fries</c:v>
              </c:pt>
              <c:pt idx="4">
                <c:v>Sides &amp; Other</c:v>
              </c:pt>
            </c:strLit>
          </c:cat>
          <c:val>
            <c:numLit>
              <c:formatCode>General</c:formatCode>
              <c:ptCount val="5"/>
              <c:pt idx="0">
                <c:v>103200.26299999992</c:v>
              </c:pt>
              <c:pt idx="1">
                <c:v>376999.80689999991</c:v>
              </c:pt>
              <c:pt idx="2">
                <c:v>114641.69500000002</c:v>
              </c:pt>
              <c:pt idx="3">
                <c:v>125674.29029999988</c:v>
              </c:pt>
              <c:pt idx="4">
                <c:v>48999.803999999967</c:v>
              </c:pt>
            </c:numLit>
          </c:val>
          <c:extLst>
            <c:ext xmlns:c16="http://schemas.microsoft.com/office/drawing/2014/chart" uri="{C3380CC4-5D6E-409C-BE32-E72D297353CC}">
              <c16:uniqueId val="{00000000-B7C8-47FB-B3C9-53A87C469D14}"/>
            </c:ext>
          </c:extLst>
        </c:ser>
        <c:dLbls>
          <c:dLblPos val="outEnd"/>
          <c:showLegendKey val="0"/>
          <c:showVal val="1"/>
          <c:showCatName val="0"/>
          <c:showSerName val="0"/>
          <c:showPercent val="0"/>
          <c:showBubbleSize val="0"/>
        </c:dLbls>
        <c:gapWidth val="219"/>
        <c:overlap val="-27"/>
        <c:axId val="1120437951"/>
        <c:axId val="898927791"/>
      </c:barChart>
      <c:catAx>
        <c:axId val="112043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927791"/>
        <c:crosses val="autoZero"/>
        <c:auto val="1"/>
        <c:lblAlgn val="ctr"/>
        <c:lblOffset val="100"/>
        <c:noMultiLvlLbl val="0"/>
      </c:catAx>
      <c:valAx>
        <c:axId val="898927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43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8.6999999999999994E-2"/>
              <c:y val="5.7905001458151063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w="28575" cap="rnd">
            <a:solidFill>
              <a:schemeClr val="accent1"/>
            </a:solidFill>
            <a:round/>
          </a:ln>
          <a:effectLst/>
        </c:spPr>
        <c:marker>
          <c:symbol val="none"/>
        </c:marker>
        <c:dLbl>
          <c:idx val="0"/>
          <c:layout>
            <c:manualLayout>
              <c:x val="-7.8666666666666718E-2"/>
              <c:y val="-5.32061096529600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7.5888888888888936E-2"/>
              <c:y val="5.7905001458151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7.3111111111111057E-2"/>
              <c:y val="-6.7094998541848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6.4777777777777878E-2"/>
              <c:y val="6.7164260717410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6.7555555555555549E-2"/>
              <c:y val="7.1793890347039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2.0293088363954607E-2"/>
              <c:y val="4.8645742198891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7.0333333333333331E-2"/>
              <c:y val="6.7164260717410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9.5333333333333339E-2"/>
              <c:y val="-7.17246281714785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7.8666666666666774E-2"/>
              <c:y val="5.32753718285213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7.0333333333333331E-2"/>
              <c:y val="5.7905001458151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layout>
            <c:manualLayout>
              <c:x val="-7.8666666666666718E-2"/>
              <c:y val="-5.32061096529600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layout>
            <c:manualLayout>
              <c:x val="-7.5888888888888936E-2"/>
              <c:y val="5.7905001458151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layout>
            <c:manualLayout>
              <c:x val="-7.3111111111111057E-2"/>
              <c:y val="-6.7094998541848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layout>
            <c:manualLayout>
              <c:x val="-6.4777777777777878E-2"/>
              <c:y val="6.7164260717410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layout>
            <c:manualLayout>
              <c:x val="-6.7555555555555549E-2"/>
              <c:y val="7.1793890347039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layout>
            <c:manualLayout>
              <c:x val="-2.0293088363954607E-2"/>
              <c:y val="4.8645742198891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layout>
            <c:manualLayout>
              <c:x val="-7.8666666666666718E-2"/>
              <c:y val="-5.32061096529600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layout>
            <c:manualLayout>
              <c:x val="-7.5888888888888936E-2"/>
              <c:y val="5.7905001458151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layout>
            <c:manualLayout>
              <c:x val="-7.3111111111111057E-2"/>
              <c:y val="-6.7094998541848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layout>
            <c:manualLayout>
              <c:x val="-6.4777777777777878E-2"/>
              <c:y val="6.7164260717410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layout>
            <c:manualLayout>
              <c:x val="-6.7555555555555549E-2"/>
              <c:y val="7.1793890347039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layout>
            <c:manualLayout>
              <c:x val="-2.0293088363954607E-2"/>
              <c:y val="4.8645742198891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pivotFmt>
      <c:pivotFmt>
        <c:idx val="27"/>
        <c:spPr>
          <a:ln w="28575" cap="rnd">
            <a:solidFill>
              <a:schemeClr val="accent1"/>
            </a:solidFill>
            <a:round/>
          </a:ln>
          <a:effectLst/>
        </c:spPr>
        <c:marker>
          <c:symbol val="none"/>
        </c:marker>
      </c:pivotFmt>
    </c:pivotFmts>
    <c:plotArea>
      <c:layout/>
      <c:lineChart>
        <c:grouping val="standard"/>
        <c:varyColors val="0"/>
        <c:ser>
          <c:idx val="0"/>
          <c:order val="0"/>
          <c:tx>
            <c:v>Total</c:v>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1-1BED-44E1-913E-09F0C1E7A2E9}"/>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3-1BED-44E1-913E-09F0C1E7A2E9}"/>
              </c:ext>
            </c:extLst>
          </c:dPt>
          <c:dPt>
            <c:idx val="3"/>
            <c:marker>
              <c:symbol val="none"/>
            </c:marker>
            <c:bubble3D val="0"/>
            <c:extLst>
              <c:ext xmlns:c16="http://schemas.microsoft.com/office/drawing/2014/chart" uri="{C3380CC4-5D6E-409C-BE32-E72D297353CC}">
                <c16:uniqueId val="{00000004-97D3-4EC3-8AF6-B0DF08273BBB}"/>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5-1BED-44E1-913E-09F0C1E7A2E9}"/>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7-1BED-44E1-913E-09F0C1E7A2E9}"/>
              </c:ext>
            </c:extLst>
          </c:dPt>
          <c:dPt>
            <c:idx val="7"/>
            <c:marker>
              <c:symbol val="none"/>
            </c:marker>
            <c:bubble3D val="0"/>
            <c:spPr>
              <a:ln w="28575" cap="rnd">
                <a:solidFill>
                  <a:schemeClr val="accent1"/>
                </a:solidFill>
                <a:round/>
              </a:ln>
              <a:effectLst/>
            </c:spPr>
            <c:extLst>
              <c:ext xmlns:c16="http://schemas.microsoft.com/office/drawing/2014/chart" uri="{C3380CC4-5D6E-409C-BE32-E72D297353CC}">
                <c16:uniqueId val="{00000009-1BED-44E1-913E-09F0C1E7A2E9}"/>
              </c:ext>
            </c:extLst>
          </c:dPt>
          <c:dPt>
            <c:idx val="9"/>
            <c:marker>
              <c:symbol val="none"/>
            </c:marker>
            <c:bubble3D val="0"/>
            <c:spPr>
              <a:ln w="28575" cap="rnd">
                <a:solidFill>
                  <a:schemeClr val="accent1"/>
                </a:solidFill>
                <a:round/>
              </a:ln>
              <a:effectLst/>
            </c:spPr>
            <c:extLst>
              <c:ext xmlns:c16="http://schemas.microsoft.com/office/drawing/2014/chart" uri="{C3380CC4-5D6E-409C-BE32-E72D297353CC}">
                <c16:uniqueId val="{0000000B-1BED-44E1-913E-09F0C1E7A2E9}"/>
              </c:ext>
            </c:extLst>
          </c:dPt>
          <c:dLbls>
            <c:dLbl>
              <c:idx val="1"/>
              <c:layout>
                <c:manualLayout>
                  <c:x val="-7.8666666666666718E-2"/>
                  <c:y val="-5.3206109652960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BED-44E1-913E-09F0C1E7A2E9}"/>
                </c:ext>
              </c:extLst>
            </c:dLbl>
            <c:dLbl>
              <c:idx val="2"/>
              <c:layout>
                <c:manualLayout>
                  <c:x val="-7.5888888888888936E-2"/>
                  <c:y val="5.79050014581510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BED-44E1-913E-09F0C1E7A2E9}"/>
                </c:ext>
              </c:extLst>
            </c:dLbl>
            <c:dLbl>
              <c:idx val="4"/>
              <c:layout>
                <c:manualLayout>
                  <c:x val="-7.3111111111111057E-2"/>
                  <c:y val="-6.7094998541848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BED-44E1-913E-09F0C1E7A2E9}"/>
                </c:ext>
              </c:extLst>
            </c:dLbl>
            <c:dLbl>
              <c:idx val="5"/>
              <c:layout>
                <c:manualLayout>
                  <c:x val="-6.4777777777777878E-2"/>
                  <c:y val="6.71642607174103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BED-44E1-913E-09F0C1E7A2E9}"/>
                </c:ext>
              </c:extLst>
            </c:dLbl>
            <c:dLbl>
              <c:idx val="7"/>
              <c:layout>
                <c:manualLayout>
                  <c:x val="-6.7555555555555549E-2"/>
                  <c:y val="7.1793890347039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BED-44E1-913E-09F0C1E7A2E9}"/>
                </c:ext>
              </c:extLst>
            </c:dLbl>
            <c:dLbl>
              <c:idx val="9"/>
              <c:layout>
                <c:manualLayout>
                  <c:x val="-2.0293088363954607E-2"/>
                  <c:y val="4.86457421988918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BED-44E1-913E-09F0C1E7A2E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20-Dec</c:v>
              </c:pt>
              <c:pt idx="1">
                <c:v>21-Dec</c:v>
              </c:pt>
              <c:pt idx="2">
                <c:v>22-Dec</c:v>
              </c:pt>
              <c:pt idx="3">
                <c:v>23-Dec</c:v>
              </c:pt>
              <c:pt idx="4">
                <c:v>24-Dec</c:v>
              </c:pt>
              <c:pt idx="5">
                <c:v>25-Dec</c:v>
              </c:pt>
              <c:pt idx="6">
                <c:v>26-Dec</c:v>
              </c:pt>
              <c:pt idx="7">
                <c:v>27-Dec</c:v>
              </c:pt>
              <c:pt idx="8">
                <c:v>28-Dec</c:v>
              </c:pt>
              <c:pt idx="9">
                <c:v>29-Dec</c:v>
              </c:pt>
            </c:strLit>
          </c:cat>
          <c:val>
            <c:numLit>
              <c:formatCode>General</c:formatCode>
              <c:ptCount val="10"/>
              <c:pt idx="0">
                <c:v>16000.007300000001</c:v>
              </c:pt>
              <c:pt idx="1">
                <c:v>16399.969400000002</c:v>
              </c:pt>
              <c:pt idx="2">
                <c:v>16599.964400000001</c:v>
              </c:pt>
              <c:pt idx="3">
                <c:v>16000.021800000002</c:v>
              </c:pt>
              <c:pt idx="4">
                <c:v>16399.983900000003</c:v>
              </c:pt>
              <c:pt idx="5">
                <c:v>16599.978900000002</c:v>
              </c:pt>
              <c:pt idx="6">
                <c:v>17000.019900000003</c:v>
              </c:pt>
              <c:pt idx="7">
                <c:v>17000.019900000003</c:v>
              </c:pt>
              <c:pt idx="8">
                <c:v>17599.976999999999</c:v>
              </c:pt>
              <c:pt idx="9">
                <c:v>16800.078000000001</c:v>
              </c:pt>
            </c:numLit>
          </c:val>
          <c:smooth val="0"/>
          <c:extLst>
            <c:ext xmlns:c16="http://schemas.microsoft.com/office/drawing/2014/chart" uri="{C3380CC4-5D6E-409C-BE32-E72D297353CC}">
              <c16:uniqueId val="{0000000C-1BED-44E1-913E-09F0C1E7A2E9}"/>
            </c:ext>
          </c:extLst>
        </c:ser>
        <c:dLbls>
          <c:dLblPos val="t"/>
          <c:showLegendKey val="0"/>
          <c:showVal val="1"/>
          <c:showCatName val="0"/>
          <c:showSerName val="0"/>
          <c:showPercent val="0"/>
          <c:showBubbleSize val="0"/>
        </c:dLbls>
        <c:smooth val="0"/>
        <c:axId val="1485824079"/>
        <c:axId val="1124836207"/>
      </c:lineChart>
      <c:catAx>
        <c:axId val="148582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836207"/>
        <c:crosses val="autoZero"/>
        <c:auto val="1"/>
        <c:lblAlgn val="ctr"/>
        <c:lblOffset val="100"/>
        <c:noMultiLvlLbl val="0"/>
      </c:catAx>
      <c:valAx>
        <c:axId val="112483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82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Product</a:t>
            </a:r>
            <a:r>
              <a:rPr lang="en-GB" baseline="0"/>
              <a:t> Quantity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Beverages</c:v>
              </c:pt>
              <c:pt idx="1">
                <c:v>Burgers</c:v>
              </c:pt>
              <c:pt idx="2">
                <c:v>Chicken Sandwiches</c:v>
              </c:pt>
              <c:pt idx="3">
                <c:v>Fries</c:v>
              </c:pt>
              <c:pt idx="4">
                <c:v>Sides &amp; Other</c:v>
              </c:pt>
            </c:strLit>
          </c:cat>
          <c:val>
            <c:numLit>
              <c:formatCode>General</c:formatCode>
              <c:ptCount val="5"/>
              <c:pt idx="0">
                <c:v>34983.140000000007</c:v>
              </c:pt>
              <c:pt idx="1">
                <c:v>29022.309999999994</c:v>
              </c:pt>
              <c:pt idx="2">
                <c:v>11135.920000000002</c:v>
              </c:pt>
              <c:pt idx="3">
                <c:v>32034.339999999986</c:v>
              </c:pt>
              <c:pt idx="4">
                <c:v>9819.5999999999913</c:v>
              </c:pt>
            </c:numLit>
          </c:val>
          <c:extLst>
            <c:ext xmlns:c16="http://schemas.microsoft.com/office/drawing/2014/chart" uri="{C3380CC4-5D6E-409C-BE32-E72D297353CC}">
              <c16:uniqueId val="{00000000-087C-4EF8-AF3F-318DF19952E2}"/>
            </c:ext>
          </c:extLst>
        </c:ser>
        <c:dLbls>
          <c:dLblPos val="outEnd"/>
          <c:showLegendKey val="0"/>
          <c:showVal val="1"/>
          <c:showCatName val="0"/>
          <c:showSerName val="0"/>
          <c:showPercent val="0"/>
          <c:showBubbleSize val="0"/>
        </c:dLbls>
        <c:gapWidth val="182"/>
        <c:axId val="608752336"/>
        <c:axId val="913920656"/>
      </c:barChart>
      <c:catAx>
        <c:axId val="608752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920656"/>
        <c:crosses val="autoZero"/>
        <c:auto val="1"/>
        <c:lblAlgn val="ctr"/>
        <c:lblOffset val="100"/>
        <c:noMultiLvlLbl val="0"/>
      </c:catAx>
      <c:valAx>
        <c:axId val="913920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75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on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Berlin</c:v>
              </c:pt>
              <c:pt idx="1">
                <c:v>Lisbon</c:v>
              </c:pt>
              <c:pt idx="2">
                <c:v>London</c:v>
              </c:pt>
              <c:pt idx="3">
                <c:v>Madrid</c:v>
              </c:pt>
              <c:pt idx="4">
                <c:v>Paris</c:v>
              </c:pt>
            </c:strLit>
          </c:cat>
          <c:val>
            <c:numLit>
              <c:formatCode>General</c:formatCode>
              <c:ptCount val="5"/>
              <c:pt idx="0">
                <c:v>100600.13129999998</c:v>
              </c:pt>
              <c:pt idx="1">
                <c:v>241714.11570000008</c:v>
              </c:pt>
              <c:pt idx="2">
                <c:v>211201.04059999986</c:v>
              </c:pt>
              <c:pt idx="3">
                <c:v>136200.26649999997</c:v>
              </c:pt>
              <c:pt idx="4">
                <c:v>79800.305099999983</c:v>
              </c:pt>
            </c:numLit>
          </c:val>
          <c:extLst>
            <c:ext xmlns:c16="http://schemas.microsoft.com/office/drawing/2014/chart" uri="{C3380CC4-5D6E-409C-BE32-E72D297353CC}">
              <c16:uniqueId val="{00000000-47A0-4BFC-9157-A16F3E1F7B4C}"/>
            </c:ext>
          </c:extLst>
        </c:ser>
        <c:dLbls>
          <c:dLblPos val="outEnd"/>
          <c:showLegendKey val="0"/>
          <c:showVal val="1"/>
          <c:showCatName val="0"/>
          <c:showSerName val="0"/>
          <c:showPercent val="0"/>
          <c:showBubbleSize val="0"/>
        </c:dLbls>
        <c:gapWidth val="182"/>
        <c:axId val="315242383"/>
        <c:axId val="899026191"/>
      </c:barChart>
      <c:catAx>
        <c:axId val="315242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026191"/>
        <c:crosses val="autoZero"/>
        <c:auto val="1"/>
        <c:lblAlgn val="ctr"/>
        <c:lblOffset val="100"/>
        <c:noMultiLvlLbl val="0"/>
      </c:catAx>
      <c:valAx>
        <c:axId val="899026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242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Manager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Joao Silva</c:v>
              </c:pt>
              <c:pt idx="1">
                <c:v>Pablo Perez</c:v>
              </c:pt>
              <c:pt idx="2">
                <c:v>Remy Monet</c:v>
              </c:pt>
              <c:pt idx="3">
                <c:v>Tom Jackson</c:v>
              </c:pt>
              <c:pt idx="4">
                <c:v>Walter Muller</c:v>
              </c:pt>
            </c:strLit>
          </c:cat>
          <c:val>
            <c:numLit>
              <c:formatCode>General</c:formatCode>
              <c:ptCount val="5"/>
              <c:pt idx="0">
                <c:v>241714.11570000008</c:v>
              </c:pt>
              <c:pt idx="1">
                <c:v>136200.26649999997</c:v>
              </c:pt>
              <c:pt idx="2">
                <c:v>79800.305099999983</c:v>
              </c:pt>
              <c:pt idx="3">
                <c:v>211201.04059999986</c:v>
              </c:pt>
              <c:pt idx="4">
                <c:v>100600.13129999998</c:v>
              </c:pt>
            </c:numLit>
          </c:val>
          <c:extLst>
            <c:ext xmlns:c16="http://schemas.microsoft.com/office/drawing/2014/chart" uri="{C3380CC4-5D6E-409C-BE32-E72D297353CC}">
              <c16:uniqueId val="{00000000-2E6D-4888-8B73-E43A0BE9FB73}"/>
            </c:ext>
          </c:extLst>
        </c:ser>
        <c:dLbls>
          <c:dLblPos val="outEnd"/>
          <c:showLegendKey val="0"/>
          <c:showVal val="1"/>
          <c:showCatName val="0"/>
          <c:showSerName val="0"/>
          <c:showPercent val="0"/>
          <c:showBubbleSize val="0"/>
        </c:dLbls>
        <c:gapWidth val="219"/>
        <c:overlap val="-27"/>
        <c:axId val="1123007071"/>
        <c:axId val="898980591"/>
      </c:barChart>
      <c:catAx>
        <c:axId val="1123007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980591"/>
        <c:crosses val="autoZero"/>
        <c:auto val="1"/>
        <c:lblAlgn val="ctr"/>
        <c:lblOffset val="100"/>
        <c:noMultiLvlLbl val="0"/>
      </c:catAx>
      <c:valAx>
        <c:axId val="898980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007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Purchase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65000"/>
            </a:schemeClr>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tint val="65000"/>
            </a:schemeClr>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tint val="65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v>Series1</c:v>
          </c:tx>
          <c:dPt>
            <c:idx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812-4D7C-9010-47F3445901DD}"/>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812-4D7C-9010-47F3445901DD}"/>
              </c:ext>
            </c:extLst>
          </c:dPt>
          <c:dPt>
            <c:idx val="2"/>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812-4D7C-9010-47F3445901D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3"/>
              <c:pt idx="0">
                <c:v>Drive-thru </c:v>
              </c:pt>
              <c:pt idx="1">
                <c:v>In-store </c:v>
              </c:pt>
              <c:pt idx="2">
                <c:v>Online </c:v>
              </c:pt>
            </c:strLit>
          </c:cat>
          <c:val>
            <c:numLit>
              <c:formatCode>General</c:formatCode>
              <c:ptCount val="3"/>
              <c:pt idx="0">
                <c:v>178600.473</c:v>
              </c:pt>
              <c:pt idx="1">
                <c:v>285713.99940000009</c:v>
              </c:pt>
              <c:pt idx="2">
                <c:v>305201.38679999986</c:v>
              </c:pt>
            </c:numLit>
          </c:val>
          <c:extLst>
            <c:ext xmlns:c16="http://schemas.microsoft.com/office/drawing/2014/chart" uri="{C3380CC4-5D6E-409C-BE32-E72D297353CC}">
              <c16:uniqueId val="{00000006-8812-4D7C-9010-47F3445901D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image" Target="../media/image13.png"/><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20" Type="http://schemas.openxmlformats.org/officeDocument/2006/relationships/chart" Target="../charts/chart12.xml"/><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image" Target="../media/image6.svg"/><Relationship Id="rId5" Type="http://schemas.openxmlformats.org/officeDocument/2006/relationships/chart" Target="../charts/chart9.xml"/><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image" Target="../media/image14.svg"/><Relationship Id="rId4" Type="http://schemas.openxmlformats.org/officeDocument/2006/relationships/chart" Target="../charts/chart8.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xdr:col>
      <xdr:colOff>15240</xdr:colOff>
      <xdr:row>0</xdr:row>
      <xdr:rowOff>160020</xdr:rowOff>
    </xdr:from>
    <xdr:to>
      <xdr:col>11</xdr:col>
      <xdr:colOff>579120</xdr:colOff>
      <xdr:row>3</xdr:row>
      <xdr:rowOff>175260</xdr:rowOff>
    </xdr:to>
    <xdr:sp macro="" textlink="">
      <xdr:nvSpPr>
        <xdr:cNvPr id="2" name="Rectangle: Diagonal Corners Rounded 1">
          <a:extLst>
            <a:ext uri="{FF2B5EF4-FFF2-40B4-BE49-F238E27FC236}">
              <a16:creationId xmlns:a16="http://schemas.microsoft.com/office/drawing/2014/main" id="{2D85BD0F-3629-B185-DA2B-F9D37BABD44C}"/>
            </a:ext>
          </a:extLst>
        </xdr:cNvPr>
        <xdr:cNvSpPr/>
      </xdr:nvSpPr>
      <xdr:spPr>
        <a:xfrm>
          <a:off x="624840" y="160020"/>
          <a:ext cx="6659880" cy="563880"/>
        </a:xfrm>
        <a:prstGeom prst="round2DiagRect">
          <a:avLst/>
        </a:prstGeom>
        <a:gradFill>
          <a:gsLst>
            <a:gs pos="35000">
              <a:srgbClr val="40629E"/>
            </a:gs>
            <a:gs pos="0">
              <a:schemeClr val="bg1">
                <a:lumMod val="85000"/>
              </a:schemeClr>
            </a:gs>
            <a:gs pos="50000">
              <a:schemeClr val="accent1">
                <a:lumMod val="75000"/>
              </a:schemeClr>
            </a:gs>
            <a:gs pos="61000">
              <a:schemeClr val="accent5">
                <a:lumMod val="75000"/>
              </a:schemeClr>
            </a:gs>
            <a:gs pos="100000">
              <a:schemeClr val="accent5">
                <a:lumMod val="50000"/>
              </a:schemeClr>
            </a:gs>
          </a:gsLst>
          <a:path path="circle">
            <a:fillToRect r="100000" b="10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1800" b="1" i="1">
              <a:latin typeface="Times New Roman" panose="02020603050405020304" pitchFamily="18" charset="0"/>
              <a:cs typeface="Times New Roman" panose="02020603050405020304" pitchFamily="18" charset="0"/>
            </a:rPr>
            <a:t>DATA CLEANING AND TRANSFORMATIONS</a:t>
          </a:r>
        </a:p>
      </xdr:txBody>
    </xdr:sp>
    <xdr:clientData/>
  </xdr:twoCellAnchor>
  <xdr:twoCellAnchor>
    <xdr:from>
      <xdr:col>1</xdr:col>
      <xdr:colOff>7620</xdr:colOff>
      <xdr:row>4</xdr:row>
      <xdr:rowOff>83820</xdr:rowOff>
    </xdr:from>
    <xdr:to>
      <xdr:col>12</xdr:col>
      <xdr:colOff>0</xdr:colOff>
      <xdr:row>42</xdr:row>
      <xdr:rowOff>72957</xdr:rowOff>
    </xdr:to>
    <xdr:sp macro="" textlink="">
      <xdr:nvSpPr>
        <xdr:cNvPr id="4" name="Rectangle 3">
          <a:extLst>
            <a:ext uri="{FF2B5EF4-FFF2-40B4-BE49-F238E27FC236}">
              <a16:creationId xmlns:a16="http://schemas.microsoft.com/office/drawing/2014/main" id="{F1AE4862-246F-8B3A-1367-B1AB38A4688C}"/>
            </a:ext>
          </a:extLst>
        </xdr:cNvPr>
        <xdr:cNvSpPr/>
      </xdr:nvSpPr>
      <xdr:spPr>
        <a:xfrm>
          <a:off x="615599" y="829607"/>
          <a:ext cx="6680146" cy="7074116"/>
        </a:xfrm>
        <a:prstGeom prst="rect">
          <a:avLst/>
        </a:prstGeom>
        <a:gradFill flip="none" rotWithShape="1">
          <a:gsLst>
            <a:gs pos="35000">
              <a:srgbClr val="40629E"/>
            </a:gs>
            <a:gs pos="0">
              <a:schemeClr val="bg1">
                <a:lumMod val="85000"/>
              </a:schemeClr>
            </a:gs>
            <a:gs pos="50000">
              <a:schemeClr val="accent1">
                <a:lumMod val="75000"/>
              </a:schemeClr>
            </a:gs>
            <a:gs pos="61000">
              <a:schemeClr val="accent5">
                <a:lumMod val="75000"/>
              </a:schemeClr>
            </a:gs>
            <a:gs pos="100000">
              <a:schemeClr val="accent5">
                <a:lumMod val="50000"/>
              </a:schemeClr>
            </a:gs>
          </a:gsLst>
          <a:path path="circle">
            <a:fillToRect r="100000" b="100000"/>
          </a:path>
          <a:tileRect l="-100000" t="-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E" sz="1100"/>
            <a:t>               </a:t>
          </a:r>
        </a:p>
        <a:p>
          <a:pPr algn="l"/>
          <a:r>
            <a:rPr lang="en-AE" sz="1100" b="1"/>
            <a:t>               </a:t>
          </a:r>
          <a:r>
            <a:rPr lang="en-AE" sz="1400" b="1" u="sng">
              <a:latin typeface="Times New Roman" panose="02020603050405020304" pitchFamily="18" charset="0"/>
              <a:cs typeface="Times New Roman" panose="02020603050405020304" pitchFamily="18" charset="0"/>
            </a:rPr>
            <a:t>DATA CLEANING</a:t>
          </a:r>
        </a:p>
        <a:p>
          <a:pPr algn="l"/>
          <a:r>
            <a:rPr lang="en-AE" sz="1100" b="1" u="none" baseline="0">
              <a:latin typeface="Times New Roman" panose="02020603050405020304" pitchFamily="18" charset="0"/>
              <a:cs typeface="Times New Roman" panose="02020603050405020304" pitchFamily="18" charset="0"/>
            </a:rPr>
            <a:t>            </a:t>
          </a:r>
          <a:endParaRPr lang="en-AE" sz="1100" b="1" u="none"/>
        </a:p>
        <a:p>
          <a:pPr algn="l"/>
          <a:r>
            <a:rPr lang="en-AE" sz="1100" b="1" u="none"/>
            <a:t>               </a:t>
          </a:r>
          <a:r>
            <a:rPr lang="en-AE" sz="1400" b="1" u="none"/>
            <a:t>. </a:t>
          </a:r>
          <a:r>
            <a:rPr lang="en-AE" sz="1200" b="0" u="none">
              <a:latin typeface="Times New Roman" panose="02020603050405020304" pitchFamily="18" charset="0"/>
              <a:cs typeface="Times New Roman" panose="02020603050405020304" pitchFamily="18" charset="0"/>
            </a:rPr>
            <a:t>Checked</a:t>
          </a:r>
          <a:r>
            <a:rPr lang="en-AE" sz="1200" b="0" u="none" baseline="0">
              <a:latin typeface="Times New Roman" panose="02020603050405020304" pitchFamily="18" charset="0"/>
              <a:cs typeface="Times New Roman" panose="02020603050405020304" pitchFamily="18" charset="0"/>
            </a:rPr>
            <a:t> for duplicate order IDs   and  no duplicate values found</a:t>
          </a:r>
        </a:p>
        <a:p>
          <a:pPr algn="l"/>
          <a:r>
            <a:rPr lang="en-AE" sz="1200" b="0" u="none" baseline="0">
              <a:latin typeface="Times New Roman" panose="02020603050405020304" pitchFamily="18" charset="0"/>
              <a:cs typeface="Times New Roman" panose="02020603050405020304" pitchFamily="18" charset="0"/>
            </a:rPr>
            <a:t>            . Cleaned the Manager column using TRIM and PROPER</a:t>
          </a:r>
        </a:p>
        <a:p>
          <a:pPr algn="l"/>
          <a:r>
            <a:rPr lang="en-AE" sz="1200" b="0" u="none" baseline="0">
              <a:latin typeface="Times New Roman" panose="02020603050405020304" pitchFamily="18" charset="0"/>
              <a:cs typeface="Times New Roman" panose="02020603050405020304" pitchFamily="18" charset="0"/>
            </a:rPr>
            <a:t>            . Checked for blank / missing values</a:t>
          </a:r>
        </a:p>
        <a:p>
          <a:pPr algn="l"/>
          <a:r>
            <a:rPr lang="en-AE" sz="1200" b="0" u="none" baseline="0">
              <a:latin typeface="Times New Roman" panose="02020603050405020304" pitchFamily="18" charset="0"/>
              <a:cs typeface="Times New Roman" panose="02020603050405020304" pitchFamily="18" charset="0"/>
            </a:rPr>
            <a:t>            . Standardized text entries such as Product, Purchase Type, Payment Method, and City     </a:t>
          </a:r>
        </a:p>
        <a:p>
          <a:pPr algn="l"/>
          <a:endParaRPr lang="en-AE" sz="1400" b="1" u="sng" baseline="0">
            <a:latin typeface="Times New Roman" panose="02020603050405020304" pitchFamily="18" charset="0"/>
            <a:cs typeface="Times New Roman" panose="02020603050405020304" pitchFamily="18" charset="0"/>
          </a:endParaRPr>
        </a:p>
        <a:p>
          <a:pPr algn="l"/>
          <a:endParaRPr lang="en-AE" sz="1400" b="1" u="sng" baseline="0">
            <a:latin typeface="Times New Roman" panose="02020603050405020304" pitchFamily="18" charset="0"/>
            <a:cs typeface="Times New Roman" panose="02020603050405020304" pitchFamily="18" charset="0"/>
          </a:endParaRPr>
        </a:p>
        <a:p>
          <a:pPr algn="l"/>
          <a:r>
            <a:rPr lang="en-AE" sz="1400" b="1" u="none" baseline="0">
              <a:latin typeface="Times New Roman" panose="02020603050405020304" pitchFamily="18" charset="0"/>
              <a:cs typeface="Times New Roman" panose="02020603050405020304" pitchFamily="18" charset="0"/>
            </a:rPr>
            <a:t>           </a:t>
          </a:r>
          <a:r>
            <a:rPr lang="en-AE" sz="1400" b="1" u="sng" baseline="0">
              <a:latin typeface="Times New Roman" panose="02020603050405020304" pitchFamily="18" charset="0"/>
              <a:cs typeface="Times New Roman" panose="02020603050405020304" pitchFamily="18" charset="0"/>
            </a:rPr>
            <a:t>DATA TRANSFORMATION</a:t>
          </a:r>
          <a:endParaRPr lang="en-AE" sz="1400" b="1" u="none" baseline="0">
            <a:latin typeface="+mn-lt"/>
            <a:cs typeface="+mn-cs"/>
          </a:endParaRPr>
        </a:p>
        <a:p>
          <a:pPr algn="l"/>
          <a:endParaRPr lang="en-AE" sz="1400" b="1" u="none" baseline="0">
            <a:latin typeface="+mn-lt"/>
            <a:cs typeface="+mn-cs"/>
          </a:endParaRPr>
        </a:p>
        <a:p>
          <a:pPr algn="l"/>
          <a:r>
            <a:rPr lang="en-AE" sz="1200" b="0" u="none" baseline="0">
              <a:latin typeface="Times New Roman" panose="02020603050405020304" pitchFamily="18" charset="0"/>
              <a:cs typeface="Times New Roman" panose="02020603050405020304" pitchFamily="18" charset="0"/>
            </a:rPr>
            <a:t>             . Added </a:t>
          </a:r>
          <a:r>
            <a:rPr lang="en-AE" sz="1200" b="1" u="none" baseline="0">
              <a:latin typeface="Times New Roman" panose="02020603050405020304" pitchFamily="18" charset="0"/>
              <a:cs typeface="Times New Roman" panose="02020603050405020304" pitchFamily="18" charset="0"/>
            </a:rPr>
            <a:t>Total Sales</a:t>
          </a:r>
          <a:r>
            <a:rPr lang="en-AE" sz="1200" b="0" u="none" baseline="0">
              <a:latin typeface="Times New Roman" panose="02020603050405020304" pitchFamily="18" charset="0"/>
              <a:cs typeface="Times New Roman" panose="02020603050405020304" pitchFamily="18" charset="0"/>
            </a:rPr>
            <a:t> column using Price*Quantity</a:t>
          </a:r>
        </a:p>
        <a:p>
          <a:pPr algn="l"/>
          <a:r>
            <a:rPr lang="en-AE" sz="1200" b="0" u="none" baseline="0">
              <a:latin typeface="Times New Roman" panose="02020603050405020304" pitchFamily="18" charset="0"/>
              <a:cs typeface="Times New Roman" panose="02020603050405020304" pitchFamily="18" charset="0"/>
            </a:rPr>
            <a:t>             . Added </a:t>
          </a:r>
          <a:r>
            <a:rPr lang="en-AE" sz="1200" b="1" u="none" baseline="0">
              <a:latin typeface="Times New Roman" panose="02020603050405020304" pitchFamily="18" charset="0"/>
              <a:cs typeface="Times New Roman" panose="02020603050405020304" pitchFamily="18" charset="0"/>
            </a:rPr>
            <a:t>Month</a:t>
          </a:r>
          <a:r>
            <a:rPr lang="en-AE" sz="1200" b="0" u="none" baseline="0">
              <a:latin typeface="Times New Roman" panose="02020603050405020304" pitchFamily="18" charset="0"/>
              <a:cs typeface="Times New Roman" panose="02020603050405020304" pitchFamily="18" charset="0"/>
            </a:rPr>
            <a:t> column from Date column</a:t>
          </a:r>
        </a:p>
        <a:p>
          <a:pPr algn="l"/>
          <a:r>
            <a:rPr lang="en-AE" sz="1200" b="0" u="none" baseline="0">
              <a:latin typeface="Times New Roman" panose="02020603050405020304" pitchFamily="18" charset="0"/>
              <a:cs typeface="Times New Roman" panose="02020603050405020304" pitchFamily="18" charset="0"/>
            </a:rPr>
            <a:t>             . Converted Quantity to a numeric format and removed unnecessary decimals</a:t>
          </a:r>
        </a:p>
        <a:p>
          <a:pPr algn="l"/>
          <a:endParaRPr lang="en-AE" sz="1200" b="0" u="none" baseline="0">
            <a:latin typeface="Times New Roman" panose="02020603050405020304" pitchFamily="18" charset="0"/>
            <a:cs typeface="Times New Roman" panose="02020603050405020304" pitchFamily="18" charset="0"/>
          </a:endParaRPr>
        </a:p>
        <a:p>
          <a:pPr algn="l"/>
          <a:endParaRPr lang="en-AE" sz="1200" b="0" u="none" baseline="0">
            <a:latin typeface="Times New Roman" panose="02020603050405020304" pitchFamily="18" charset="0"/>
            <a:cs typeface="Times New Roman" panose="02020603050405020304" pitchFamily="18" charset="0"/>
          </a:endParaRPr>
        </a:p>
        <a:p>
          <a:pPr algn="l"/>
          <a:r>
            <a:rPr lang="en-AE" sz="1200" b="0" u="none" baseline="0">
              <a:latin typeface="Times New Roman" panose="02020603050405020304" pitchFamily="18" charset="0"/>
              <a:cs typeface="Times New Roman" panose="02020603050405020304" pitchFamily="18" charset="0"/>
            </a:rPr>
            <a:t>             </a:t>
          </a:r>
          <a:r>
            <a:rPr lang="en-AE" sz="1400" b="1" u="sng" baseline="0">
              <a:latin typeface="Times New Roman" panose="02020603050405020304" pitchFamily="18" charset="0"/>
              <a:cs typeface="Times New Roman" panose="02020603050405020304" pitchFamily="18" charset="0"/>
            </a:rPr>
            <a:t>DATA TYPE SUMMARY</a:t>
          </a:r>
        </a:p>
        <a:p>
          <a:pPr algn="l"/>
          <a:endParaRPr lang="en-AE" sz="1200" b="0" u="none" baseline="0">
            <a:latin typeface="Times New Roman" panose="02020603050405020304" pitchFamily="18" charset="0"/>
            <a:cs typeface="Times New Roman" panose="02020603050405020304" pitchFamily="18" charset="0"/>
          </a:endParaRPr>
        </a:p>
        <a:p>
          <a:pPr algn="l"/>
          <a:r>
            <a:rPr lang="en-AE" sz="1200" b="0" u="none" baseline="0">
              <a:latin typeface="Times New Roman" panose="02020603050405020304" pitchFamily="18" charset="0"/>
              <a:cs typeface="Times New Roman" panose="02020603050405020304" pitchFamily="18" charset="0"/>
            </a:rPr>
            <a:t>            .Applied appropriate formatting to each column</a:t>
          </a:r>
        </a:p>
        <a:p>
          <a:pPr algn="l"/>
          <a:endParaRPr lang="en-AE" sz="1200" b="0" u="none" baseline="0">
            <a:latin typeface="Times New Roman" panose="02020603050405020304" pitchFamily="18" charset="0"/>
            <a:cs typeface="Times New Roman" panose="02020603050405020304" pitchFamily="18" charset="0"/>
          </a:endParaRPr>
        </a:p>
        <a:p>
          <a:pPr algn="l"/>
          <a:r>
            <a:rPr lang="en-AE" sz="1200" b="0" u="none" baseline="0">
              <a:latin typeface="Times New Roman" panose="02020603050405020304" pitchFamily="18" charset="0"/>
              <a:cs typeface="Times New Roman" panose="02020603050405020304" pitchFamily="18" charset="0"/>
            </a:rPr>
            <a:t>            Order id : General</a:t>
          </a:r>
        </a:p>
        <a:p>
          <a:pPr algn="l"/>
          <a:r>
            <a:rPr lang="en-AE" sz="1200" b="0" u="none" baseline="0">
              <a:latin typeface="Times New Roman" panose="02020603050405020304" pitchFamily="18" charset="0"/>
              <a:cs typeface="Times New Roman" panose="02020603050405020304" pitchFamily="18" charset="0"/>
            </a:rPr>
            <a:t>            Date       : Date</a:t>
          </a:r>
        </a:p>
        <a:p>
          <a:pPr algn="l"/>
          <a:r>
            <a:rPr lang="en-AE" sz="1200" b="0" u="none" baseline="0">
              <a:latin typeface="Times New Roman" panose="02020603050405020304" pitchFamily="18" charset="0"/>
              <a:cs typeface="Times New Roman" panose="02020603050405020304" pitchFamily="18" charset="0"/>
            </a:rPr>
            <a:t>            Month    : Date</a:t>
          </a:r>
        </a:p>
        <a:p>
          <a:pPr algn="l"/>
          <a:r>
            <a:rPr lang="en-AE" sz="1200" b="0" u="none" baseline="0">
              <a:latin typeface="Times New Roman" panose="02020603050405020304" pitchFamily="18" charset="0"/>
              <a:cs typeface="Times New Roman" panose="02020603050405020304" pitchFamily="18" charset="0"/>
            </a:rPr>
            <a:t>            Product  : General</a:t>
          </a:r>
        </a:p>
        <a:p>
          <a:pPr algn="l"/>
          <a:r>
            <a:rPr lang="en-AE" sz="1200" b="0" u="none" baseline="0">
              <a:latin typeface="Times New Roman" panose="02020603050405020304" pitchFamily="18" charset="0"/>
              <a:cs typeface="Times New Roman" panose="02020603050405020304" pitchFamily="18" charset="0"/>
            </a:rPr>
            <a:t>            Price      : Currency</a:t>
          </a:r>
        </a:p>
        <a:p>
          <a:pPr algn="l"/>
          <a:r>
            <a:rPr lang="en-AE" sz="1200" b="0" u="none" baseline="0">
              <a:latin typeface="Times New Roman" panose="02020603050405020304" pitchFamily="18" charset="0"/>
              <a:cs typeface="Times New Roman" panose="02020603050405020304" pitchFamily="18" charset="0"/>
            </a:rPr>
            <a:t>           Quantity : Number</a:t>
          </a:r>
        </a:p>
        <a:p>
          <a:pPr algn="l"/>
          <a:r>
            <a:rPr lang="en-AE" sz="1200" b="0" u="none" baseline="0">
              <a:latin typeface="Times New Roman" panose="02020603050405020304" pitchFamily="18" charset="0"/>
              <a:cs typeface="Times New Roman" panose="02020603050405020304" pitchFamily="18" charset="0"/>
            </a:rPr>
            <a:t>            Total Sale : Currency</a:t>
          </a:r>
        </a:p>
        <a:p>
          <a:pPr algn="l"/>
          <a:r>
            <a:rPr lang="en-AE" sz="1200" b="0" u="none" baseline="0">
              <a:latin typeface="Times New Roman" panose="02020603050405020304" pitchFamily="18" charset="0"/>
              <a:cs typeface="Times New Roman" panose="02020603050405020304" pitchFamily="18" charset="0"/>
            </a:rPr>
            <a:t>            Purchase Type : General</a:t>
          </a:r>
        </a:p>
        <a:p>
          <a:pPr algn="l"/>
          <a:r>
            <a:rPr lang="en-AE" sz="1200" b="0" u="none" baseline="0">
              <a:latin typeface="Times New Roman" panose="02020603050405020304" pitchFamily="18" charset="0"/>
              <a:cs typeface="Times New Roman" panose="02020603050405020304" pitchFamily="18" charset="0"/>
            </a:rPr>
            <a:t>            Payment Method : General</a:t>
          </a:r>
        </a:p>
        <a:p>
          <a:pPr algn="l"/>
          <a:r>
            <a:rPr lang="en-AE" sz="1200" b="0" u="none" baseline="0">
              <a:latin typeface="Times New Roman" panose="02020603050405020304" pitchFamily="18" charset="0"/>
              <a:cs typeface="Times New Roman" panose="02020603050405020304" pitchFamily="18" charset="0"/>
            </a:rPr>
            <a:t>            Manager : General   </a:t>
          </a:r>
        </a:p>
        <a:p>
          <a:pPr algn="l"/>
          <a:r>
            <a:rPr lang="en-AE" sz="1200" b="0" u="none" baseline="0">
              <a:latin typeface="Times New Roman" panose="02020603050405020304" pitchFamily="18" charset="0"/>
              <a:cs typeface="Times New Roman" panose="02020603050405020304" pitchFamily="18" charset="0"/>
            </a:rPr>
            <a:t>             City : General</a:t>
          </a:r>
        </a:p>
        <a:p>
          <a:pPr algn="l"/>
          <a:endParaRPr lang="en-AE" sz="1200" b="0" u="none" baseline="0">
            <a:latin typeface="Times New Roman" panose="02020603050405020304" pitchFamily="18" charset="0"/>
            <a:cs typeface="Times New Roman" panose="02020603050405020304" pitchFamily="18" charset="0"/>
          </a:endParaRPr>
        </a:p>
        <a:p>
          <a:pPr algn="l"/>
          <a:endParaRPr lang="en-AE" sz="1200" b="0" u="none" baseline="0">
            <a:latin typeface="Times New Roman" panose="02020603050405020304" pitchFamily="18" charset="0"/>
            <a:cs typeface="Times New Roman" panose="02020603050405020304" pitchFamily="18" charset="0"/>
          </a:endParaRPr>
        </a:p>
        <a:p>
          <a:pPr algn="l"/>
          <a:r>
            <a:rPr lang="en-AE" sz="1200" b="0" u="none" baseline="0">
              <a:latin typeface="Times New Roman" panose="02020603050405020304" pitchFamily="18" charset="0"/>
              <a:cs typeface="Times New Roman" panose="02020603050405020304" pitchFamily="18" charset="0"/>
            </a:rPr>
            <a:t>             </a:t>
          </a:r>
          <a:r>
            <a:rPr lang="en-AE" sz="1400" b="1" u="sng" baseline="0">
              <a:latin typeface="Times New Roman" panose="02020603050405020304" pitchFamily="18" charset="0"/>
              <a:cs typeface="Times New Roman" panose="02020603050405020304" pitchFamily="18" charset="0"/>
            </a:rPr>
            <a:t>Worksheet Improvements</a:t>
          </a:r>
        </a:p>
        <a:p>
          <a:pPr algn="l"/>
          <a:endParaRPr lang="en-AE" sz="1200" b="0" u="none" baseline="0">
            <a:latin typeface="Times New Roman" panose="02020603050405020304" pitchFamily="18" charset="0"/>
            <a:cs typeface="Times New Roman" panose="02020603050405020304" pitchFamily="18" charset="0"/>
          </a:endParaRPr>
        </a:p>
        <a:p>
          <a:pPr algn="l"/>
          <a:r>
            <a:rPr lang="en-AE" sz="1200" b="0" u="none" baseline="0">
              <a:latin typeface="Times New Roman" panose="02020603050405020304" pitchFamily="18" charset="0"/>
              <a:cs typeface="Times New Roman" panose="02020603050405020304" pitchFamily="18" charset="0"/>
            </a:rPr>
            <a:t>             . Froze the top / header row for easier navigation</a:t>
          </a:r>
        </a:p>
        <a:p>
          <a:pPr algn="l"/>
          <a:r>
            <a:rPr lang="en-AE" sz="1200" b="0" u="none" baseline="0">
              <a:latin typeface="Times New Roman" panose="02020603050405020304" pitchFamily="18" charset="0"/>
              <a:cs typeface="Times New Roman" panose="02020603050405020304" pitchFamily="18" charset="0"/>
            </a:rPr>
            <a:t>             . Organised the cleaned data into a structured table</a:t>
          </a:r>
        </a:p>
        <a:p>
          <a:pPr algn="l"/>
          <a:endParaRPr lang="en-AE" sz="1200" b="0" u="none" baseline="0">
            <a:latin typeface="Times New Roman" panose="02020603050405020304" pitchFamily="18" charset="0"/>
            <a:cs typeface="Times New Roman" panose="02020603050405020304" pitchFamily="18" charset="0"/>
          </a:endParaRPr>
        </a:p>
        <a:p>
          <a:pPr algn="l"/>
          <a:endParaRPr lang="en-AE" sz="1200" b="0" u="none" baseline="0">
            <a:latin typeface="Times New Roman" panose="02020603050405020304" pitchFamily="18" charset="0"/>
            <a:cs typeface="Times New Roman" panose="02020603050405020304" pitchFamily="18" charset="0"/>
          </a:endParaRPr>
        </a:p>
      </xdr:txBody>
    </xdr:sp>
    <xdr:clientData/>
  </xdr:twoCellAnchor>
  <xdr:twoCellAnchor>
    <xdr:from>
      <xdr:col>1</xdr:col>
      <xdr:colOff>137160</xdr:colOff>
      <xdr:row>5</xdr:row>
      <xdr:rowOff>152400</xdr:rowOff>
    </xdr:from>
    <xdr:to>
      <xdr:col>1</xdr:col>
      <xdr:colOff>502920</xdr:colOff>
      <xdr:row>6</xdr:row>
      <xdr:rowOff>121920</xdr:rowOff>
    </xdr:to>
    <xdr:sp macro="" textlink="">
      <xdr:nvSpPr>
        <xdr:cNvPr id="3" name="Arrow: Right 2">
          <a:extLst>
            <a:ext uri="{FF2B5EF4-FFF2-40B4-BE49-F238E27FC236}">
              <a16:creationId xmlns:a16="http://schemas.microsoft.com/office/drawing/2014/main" id="{ECF8CED8-44D6-7EF3-4DC0-D104887C07EE}"/>
            </a:ext>
          </a:extLst>
        </xdr:cNvPr>
        <xdr:cNvSpPr/>
      </xdr:nvSpPr>
      <xdr:spPr>
        <a:xfrm>
          <a:off x="746760" y="1066800"/>
          <a:ext cx="365760" cy="152400"/>
        </a:xfrm>
        <a:prstGeom prst="rightArrow">
          <a:avLst>
            <a:gd name="adj1" fmla="val 50000"/>
            <a:gd name="adj2" fmla="val 91139"/>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xdr:col>
      <xdr:colOff>144780</xdr:colOff>
      <xdr:row>21</xdr:row>
      <xdr:rowOff>45720</xdr:rowOff>
    </xdr:from>
    <xdr:to>
      <xdr:col>1</xdr:col>
      <xdr:colOff>510540</xdr:colOff>
      <xdr:row>22</xdr:row>
      <xdr:rowOff>15240</xdr:rowOff>
    </xdr:to>
    <xdr:sp macro="" textlink="">
      <xdr:nvSpPr>
        <xdr:cNvPr id="5" name="Arrow: Right 4">
          <a:extLst>
            <a:ext uri="{FF2B5EF4-FFF2-40B4-BE49-F238E27FC236}">
              <a16:creationId xmlns:a16="http://schemas.microsoft.com/office/drawing/2014/main" id="{3D679F25-ED7B-4411-8881-25DD86618BD2}"/>
            </a:ext>
          </a:extLst>
        </xdr:cNvPr>
        <xdr:cNvSpPr/>
      </xdr:nvSpPr>
      <xdr:spPr>
        <a:xfrm>
          <a:off x="754380" y="3886200"/>
          <a:ext cx="365760" cy="152400"/>
        </a:xfrm>
        <a:prstGeom prst="rightArrow">
          <a:avLst>
            <a:gd name="adj1" fmla="val 50000"/>
            <a:gd name="adj2" fmla="val 91139"/>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xdr:col>
      <xdr:colOff>137160</xdr:colOff>
      <xdr:row>14</xdr:row>
      <xdr:rowOff>45720</xdr:rowOff>
    </xdr:from>
    <xdr:to>
      <xdr:col>1</xdr:col>
      <xdr:colOff>502920</xdr:colOff>
      <xdr:row>15</xdr:row>
      <xdr:rowOff>15240</xdr:rowOff>
    </xdr:to>
    <xdr:sp macro="" textlink="">
      <xdr:nvSpPr>
        <xdr:cNvPr id="6" name="Arrow: Right 5">
          <a:extLst>
            <a:ext uri="{FF2B5EF4-FFF2-40B4-BE49-F238E27FC236}">
              <a16:creationId xmlns:a16="http://schemas.microsoft.com/office/drawing/2014/main" id="{7B37802F-724B-436D-96B0-B8BB1D1EDA14}"/>
            </a:ext>
          </a:extLst>
        </xdr:cNvPr>
        <xdr:cNvSpPr/>
      </xdr:nvSpPr>
      <xdr:spPr>
        <a:xfrm>
          <a:off x="746760" y="2606040"/>
          <a:ext cx="365760" cy="152400"/>
        </a:xfrm>
        <a:prstGeom prst="rightArrow">
          <a:avLst>
            <a:gd name="adj1" fmla="val 50000"/>
            <a:gd name="adj2" fmla="val 91139"/>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xdr:col>
      <xdr:colOff>144780</xdr:colOff>
      <xdr:row>37</xdr:row>
      <xdr:rowOff>152400</xdr:rowOff>
    </xdr:from>
    <xdr:to>
      <xdr:col>1</xdr:col>
      <xdr:colOff>510540</xdr:colOff>
      <xdr:row>38</xdr:row>
      <xdr:rowOff>121920</xdr:rowOff>
    </xdr:to>
    <xdr:sp macro="" textlink="">
      <xdr:nvSpPr>
        <xdr:cNvPr id="7" name="Arrow: Right 6">
          <a:extLst>
            <a:ext uri="{FF2B5EF4-FFF2-40B4-BE49-F238E27FC236}">
              <a16:creationId xmlns:a16="http://schemas.microsoft.com/office/drawing/2014/main" id="{F7256739-4853-4D54-BA3B-93031916A35C}"/>
            </a:ext>
          </a:extLst>
        </xdr:cNvPr>
        <xdr:cNvSpPr/>
      </xdr:nvSpPr>
      <xdr:spPr>
        <a:xfrm>
          <a:off x="754380" y="6918960"/>
          <a:ext cx="365760" cy="152400"/>
        </a:xfrm>
        <a:prstGeom prst="rightArrow">
          <a:avLst>
            <a:gd name="adj1" fmla="val 50000"/>
            <a:gd name="adj2" fmla="val 91139"/>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7620</xdr:rowOff>
    </xdr:from>
    <xdr:to>
      <xdr:col>11</xdr:col>
      <xdr:colOff>304800</xdr:colOff>
      <xdr:row>16</xdr:row>
      <xdr:rowOff>7620</xdr:rowOff>
    </xdr:to>
    <xdr:graphicFrame macro="">
      <xdr:nvGraphicFramePr>
        <xdr:cNvPr id="2" name="Chart 1">
          <a:extLst>
            <a:ext uri="{FF2B5EF4-FFF2-40B4-BE49-F238E27FC236}">
              <a16:creationId xmlns:a16="http://schemas.microsoft.com/office/drawing/2014/main" id="{66C9754B-280A-4EB7-93CB-94FFF39F7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3</xdr:col>
      <xdr:colOff>0</xdr:colOff>
      <xdr:row>7</xdr:row>
      <xdr:rowOff>162720</xdr:rowOff>
    </xdr:to>
    <mc:AlternateContent xmlns:mc="http://schemas.openxmlformats.org/markup-compatibility/2006" xmlns:a14="http://schemas.microsoft.com/office/drawing/2010/main">
      <mc:Choice Requires="a14">
        <xdr:graphicFrame macro="">
          <xdr:nvGraphicFramePr>
            <xdr:cNvPr id="3" name="Month 2">
              <a:extLst>
                <a:ext uri="{FF2B5EF4-FFF2-40B4-BE49-F238E27FC236}">
                  <a16:creationId xmlns:a16="http://schemas.microsoft.com/office/drawing/2014/main" id="{F79C6BA8-55D6-488F-B5D1-BA142F84366D}"/>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0" y="182880"/>
              <a:ext cx="1828800" cy="12600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1</xdr:row>
      <xdr:rowOff>0</xdr:rowOff>
    </xdr:from>
    <xdr:to>
      <xdr:col>19</xdr:col>
      <xdr:colOff>304800</xdr:colOff>
      <xdr:row>16</xdr:row>
      <xdr:rowOff>0</xdr:rowOff>
    </xdr:to>
    <xdr:graphicFrame macro="">
      <xdr:nvGraphicFramePr>
        <xdr:cNvPr id="4" name="Chart 3">
          <a:extLst>
            <a:ext uri="{FF2B5EF4-FFF2-40B4-BE49-F238E27FC236}">
              <a16:creationId xmlns:a16="http://schemas.microsoft.com/office/drawing/2014/main" id="{BACEF926-76D6-46B1-AAB4-125A8D873B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9</xdr:row>
      <xdr:rowOff>1</xdr:rowOff>
    </xdr:from>
    <xdr:to>
      <xdr:col>3</xdr:col>
      <xdr:colOff>0</xdr:colOff>
      <xdr:row>19</xdr:row>
      <xdr:rowOff>30481</xdr:rowOff>
    </xdr:to>
    <mc:AlternateContent xmlns:mc="http://schemas.openxmlformats.org/markup-compatibility/2006" xmlns:a14="http://schemas.microsoft.com/office/drawing/2010/main">
      <mc:Choice Requires="a14">
        <xdr:graphicFrame macro="">
          <xdr:nvGraphicFramePr>
            <xdr:cNvPr id="5" name="City 2">
              <a:extLst>
                <a:ext uri="{FF2B5EF4-FFF2-40B4-BE49-F238E27FC236}">
                  <a16:creationId xmlns:a16="http://schemas.microsoft.com/office/drawing/2014/main" id="{7471FDE4-9286-4206-8943-65C53D099109}"/>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0" y="1645921"/>
              <a:ext cx="1828800" cy="185928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0</xdr:colOff>
      <xdr:row>1</xdr:row>
      <xdr:rowOff>0</xdr:rowOff>
    </xdr:from>
    <xdr:to>
      <xdr:col>27</xdr:col>
      <xdr:colOff>304800</xdr:colOff>
      <xdr:row>16</xdr:row>
      <xdr:rowOff>0</xdr:rowOff>
    </xdr:to>
    <xdr:graphicFrame macro="">
      <xdr:nvGraphicFramePr>
        <xdr:cNvPr id="6" name="Chart 5">
          <a:extLst>
            <a:ext uri="{FF2B5EF4-FFF2-40B4-BE49-F238E27FC236}">
              <a16:creationId xmlns:a16="http://schemas.microsoft.com/office/drawing/2014/main" id="{B4FCDF41-048C-41B5-9E96-007E853D8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20</xdr:row>
      <xdr:rowOff>1</xdr:rowOff>
    </xdr:from>
    <xdr:to>
      <xdr:col>3</xdr:col>
      <xdr:colOff>0</xdr:colOff>
      <xdr:row>29</xdr:row>
      <xdr:rowOff>121921</xdr:rowOff>
    </xdr:to>
    <mc:AlternateContent xmlns:mc="http://schemas.openxmlformats.org/markup-compatibility/2006" xmlns:a14="http://schemas.microsoft.com/office/drawing/2010/main">
      <mc:Choice Requires="a14">
        <xdr:graphicFrame macro="">
          <xdr:nvGraphicFramePr>
            <xdr:cNvPr id="7" name="Product 3">
              <a:extLst>
                <a:ext uri="{FF2B5EF4-FFF2-40B4-BE49-F238E27FC236}">
                  <a16:creationId xmlns:a16="http://schemas.microsoft.com/office/drawing/2014/main" id="{B65E7E2D-9223-45FE-A13A-0383D88C200F}"/>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0" y="3657601"/>
              <a:ext cx="1828800" cy="176784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17</xdr:row>
      <xdr:rowOff>0</xdr:rowOff>
    </xdr:from>
    <xdr:to>
      <xdr:col>11</xdr:col>
      <xdr:colOff>304800</xdr:colOff>
      <xdr:row>32</xdr:row>
      <xdr:rowOff>0</xdr:rowOff>
    </xdr:to>
    <xdr:graphicFrame macro="">
      <xdr:nvGraphicFramePr>
        <xdr:cNvPr id="8" name="Chart 7">
          <a:extLst>
            <a:ext uri="{FF2B5EF4-FFF2-40B4-BE49-F238E27FC236}">
              <a16:creationId xmlns:a16="http://schemas.microsoft.com/office/drawing/2014/main" id="{056D79CC-8EFC-42FE-B186-89A06D9AA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16</xdr:row>
      <xdr:rowOff>152400</xdr:rowOff>
    </xdr:from>
    <xdr:to>
      <xdr:col>19</xdr:col>
      <xdr:colOff>304800</xdr:colOff>
      <xdr:row>31</xdr:row>
      <xdr:rowOff>152400</xdr:rowOff>
    </xdr:to>
    <xdr:graphicFrame macro="">
      <xdr:nvGraphicFramePr>
        <xdr:cNvPr id="9" name="Chart 8">
          <a:extLst>
            <a:ext uri="{FF2B5EF4-FFF2-40B4-BE49-F238E27FC236}">
              <a16:creationId xmlns:a16="http://schemas.microsoft.com/office/drawing/2014/main" id="{958EB577-7F16-463A-8DED-BB52728FC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31</xdr:row>
      <xdr:rowOff>0</xdr:rowOff>
    </xdr:from>
    <xdr:to>
      <xdr:col>3</xdr:col>
      <xdr:colOff>0</xdr:colOff>
      <xdr:row>38</xdr:row>
      <xdr:rowOff>0</xdr:rowOff>
    </xdr:to>
    <mc:AlternateContent xmlns:mc="http://schemas.openxmlformats.org/markup-compatibility/2006" xmlns:a14="http://schemas.microsoft.com/office/drawing/2010/main">
      <mc:Choice Requires="a14">
        <xdr:graphicFrame macro="">
          <xdr:nvGraphicFramePr>
            <xdr:cNvPr id="10" name="Payment Method 2">
              <a:extLst>
                <a:ext uri="{FF2B5EF4-FFF2-40B4-BE49-F238E27FC236}">
                  <a16:creationId xmlns:a16="http://schemas.microsoft.com/office/drawing/2014/main" id="{8BFBDA8C-0009-4A6C-987C-EF94A2D201E1}"/>
                </a:ext>
              </a:extLst>
            </xdr:cNvPr>
            <xdr:cNvGraphicFramePr/>
          </xdr:nvGraphicFramePr>
          <xdr:xfrm>
            <a:off x="0" y="0"/>
            <a:ext cx="0" cy="0"/>
          </xdr:xfrm>
          <a:graphic>
            <a:graphicData uri="http://schemas.microsoft.com/office/drawing/2010/slicer">
              <sle:slicer xmlns:sle="http://schemas.microsoft.com/office/drawing/2010/slicer" name="Payment Method 2"/>
            </a:graphicData>
          </a:graphic>
        </xdr:graphicFrame>
      </mc:Choice>
      <mc:Fallback xmlns="">
        <xdr:sp macro="" textlink="">
          <xdr:nvSpPr>
            <xdr:cNvPr id="0" name=""/>
            <xdr:cNvSpPr>
              <a:spLocks noTextEdit="1"/>
            </xdr:cNvSpPr>
          </xdr:nvSpPr>
          <xdr:spPr>
            <a:xfrm>
              <a:off x="0" y="5669280"/>
              <a:ext cx="1828800" cy="128016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39</xdr:row>
      <xdr:rowOff>0</xdr:rowOff>
    </xdr:from>
    <xdr:to>
      <xdr:col>3</xdr:col>
      <xdr:colOff>0</xdr:colOff>
      <xdr:row>46</xdr:row>
      <xdr:rowOff>68580</xdr:rowOff>
    </xdr:to>
    <mc:AlternateContent xmlns:mc="http://schemas.openxmlformats.org/markup-compatibility/2006" xmlns:a14="http://schemas.microsoft.com/office/drawing/2010/main">
      <mc:Choice Requires="a14">
        <xdr:graphicFrame macro="">
          <xdr:nvGraphicFramePr>
            <xdr:cNvPr id="11" name="Purchase Type 2">
              <a:extLst>
                <a:ext uri="{FF2B5EF4-FFF2-40B4-BE49-F238E27FC236}">
                  <a16:creationId xmlns:a16="http://schemas.microsoft.com/office/drawing/2014/main" id="{AA9329BA-BDC8-47EA-B4CF-DB5DB6D615CE}"/>
                </a:ext>
              </a:extLst>
            </xdr:cNvPr>
            <xdr:cNvGraphicFramePr/>
          </xdr:nvGraphicFramePr>
          <xdr:xfrm>
            <a:off x="0" y="0"/>
            <a:ext cx="0" cy="0"/>
          </xdr:xfrm>
          <a:graphic>
            <a:graphicData uri="http://schemas.microsoft.com/office/drawing/2010/slicer">
              <sle:slicer xmlns:sle="http://schemas.microsoft.com/office/drawing/2010/slicer" name="Purchase Type 2"/>
            </a:graphicData>
          </a:graphic>
        </xdr:graphicFrame>
      </mc:Choice>
      <mc:Fallback xmlns="">
        <xdr:sp macro="" textlink="">
          <xdr:nvSpPr>
            <xdr:cNvPr id="0" name=""/>
            <xdr:cNvSpPr>
              <a:spLocks noTextEdit="1"/>
            </xdr:cNvSpPr>
          </xdr:nvSpPr>
          <xdr:spPr>
            <a:xfrm>
              <a:off x="0" y="7132320"/>
              <a:ext cx="1828800" cy="134874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0</xdr:colOff>
      <xdr:row>17</xdr:row>
      <xdr:rowOff>0</xdr:rowOff>
    </xdr:from>
    <xdr:to>
      <xdr:col>27</xdr:col>
      <xdr:colOff>304800</xdr:colOff>
      <xdr:row>32</xdr:row>
      <xdr:rowOff>0</xdr:rowOff>
    </xdr:to>
    <xdr:graphicFrame macro="">
      <xdr:nvGraphicFramePr>
        <xdr:cNvPr id="12" name="Chart 11">
          <a:extLst>
            <a:ext uri="{FF2B5EF4-FFF2-40B4-BE49-F238E27FC236}">
              <a16:creationId xmlns:a16="http://schemas.microsoft.com/office/drawing/2014/main" id="{EE40A48E-D48C-47FC-AA6C-BE5A2401B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254000</xdr:colOff>
      <xdr:row>58</xdr:row>
      <xdr:rowOff>63500</xdr:rowOff>
    </xdr:to>
    <xdr:sp macro="" textlink="">
      <xdr:nvSpPr>
        <xdr:cNvPr id="51" name="Rectangle 50">
          <a:extLst>
            <a:ext uri="{FF2B5EF4-FFF2-40B4-BE49-F238E27FC236}">
              <a16:creationId xmlns:a16="http://schemas.microsoft.com/office/drawing/2014/main" id="{C4185726-7748-2C02-091B-96861803166C}"/>
            </a:ext>
          </a:extLst>
        </xdr:cNvPr>
        <xdr:cNvSpPr/>
      </xdr:nvSpPr>
      <xdr:spPr>
        <a:xfrm>
          <a:off x="0" y="0"/>
          <a:ext cx="17748250" cy="11176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0</xdr:col>
      <xdr:colOff>358587</xdr:colOff>
      <xdr:row>6</xdr:row>
      <xdr:rowOff>0</xdr:rowOff>
    </xdr:from>
    <xdr:to>
      <xdr:col>28</xdr:col>
      <xdr:colOff>593912</xdr:colOff>
      <xdr:row>56</xdr:row>
      <xdr:rowOff>111125</xdr:rowOff>
    </xdr:to>
    <xdr:sp macro="" textlink="">
      <xdr:nvSpPr>
        <xdr:cNvPr id="12" name="Rectangle 11">
          <a:extLst>
            <a:ext uri="{FF2B5EF4-FFF2-40B4-BE49-F238E27FC236}">
              <a16:creationId xmlns:a16="http://schemas.microsoft.com/office/drawing/2014/main" id="{DE761435-3502-5526-4903-8677FFE0BEFA}"/>
            </a:ext>
          </a:extLst>
        </xdr:cNvPr>
        <xdr:cNvSpPr/>
      </xdr:nvSpPr>
      <xdr:spPr>
        <a:xfrm>
          <a:off x="358587" y="1206500"/>
          <a:ext cx="17126325" cy="9636125"/>
        </a:xfrm>
        <a:prstGeom prst="rect">
          <a:avLst/>
        </a:prstGeom>
        <a:gradFill flip="none" rotWithShape="1">
          <a:gsLst>
            <a:gs pos="93000">
              <a:schemeClr val="bg1">
                <a:lumMod val="65000"/>
              </a:schemeClr>
            </a:gs>
            <a:gs pos="51000">
              <a:schemeClr val="accent5">
                <a:lumMod val="75000"/>
              </a:schemeClr>
            </a:gs>
          </a:gsLst>
          <a:lin ang="15600000" scaled="0"/>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0</xdr:col>
      <xdr:colOff>381000</xdr:colOff>
      <xdr:row>0</xdr:row>
      <xdr:rowOff>182597</xdr:rowOff>
    </xdr:from>
    <xdr:to>
      <xdr:col>29</xdr:col>
      <xdr:colOff>22412</xdr:colOff>
      <xdr:row>5</xdr:row>
      <xdr:rowOff>99871</xdr:rowOff>
    </xdr:to>
    <xdr:sp macro="" textlink="">
      <xdr:nvSpPr>
        <xdr:cNvPr id="13" name="Rectangle: Rounded Corners 12">
          <a:extLst>
            <a:ext uri="{FF2B5EF4-FFF2-40B4-BE49-F238E27FC236}">
              <a16:creationId xmlns:a16="http://schemas.microsoft.com/office/drawing/2014/main" id="{6903F066-7B74-A7D8-696D-BA409D499778}"/>
            </a:ext>
          </a:extLst>
        </xdr:cNvPr>
        <xdr:cNvSpPr/>
      </xdr:nvSpPr>
      <xdr:spPr>
        <a:xfrm>
          <a:off x="381000" y="182597"/>
          <a:ext cx="17189824" cy="880980"/>
        </a:xfrm>
        <a:prstGeom prst="roundRect">
          <a:avLst/>
        </a:prstGeom>
        <a:gradFill flip="none" rotWithShape="1">
          <a:gsLst>
            <a:gs pos="28000">
              <a:schemeClr val="accent5">
                <a:lumMod val="50000"/>
              </a:schemeClr>
            </a:gs>
            <a:gs pos="91000">
              <a:schemeClr val="bg1">
                <a:lumMod val="6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3200" b="1">
              <a:solidFill>
                <a:schemeClr val="tx1">
                  <a:lumMod val="95000"/>
                  <a:lumOff val="5000"/>
                </a:schemeClr>
              </a:solidFill>
              <a:latin typeface="Bookman Old Style" panose="02050604050505020204" pitchFamily="18" charset="0"/>
              <a:cs typeface="Aldhabi" panose="01000000000000000000" pitchFamily="2" charset="-78"/>
            </a:rPr>
            <a:t>RESTAURANT</a:t>
          </a:r>
          <a:r>
            <a:rPr lang="en-AE" sz="3200" b="1" baseline="0">
              <a:solidFill>
                <a:schemeClr val="tx1">
                  <a:lumMod val="95000"/>
                  <a:lumOff val="5000"/>
                </a:schemeClr>
              </a:solidFill>
              <a:latin typeface="Bookman Old Style" panose="02050604050505020204" pitchFamily="18" charset="0"/>
              <a:cs typeface="Aldhabi" panose="01000000000000000000" pitchFamily="2" charset="-78"/>
            </a:rPr>
            <a:t> SALES PERFORMANCE DASHBOARD</a:t>
          </a:r>
          <a:endParaRPr lang="en-AE" sz="3200" b="1">
            <a:solidFill>
              <a:schemeClr val="tx1">
                <a:lumMod val="95000"/>
                <a:lumOff val="5000"/>
              </a:schemeClr>
            </a:solidFill>
            <a:latin typeface="Bookman Old Style" panose="02050604050505020204" pitchFamily="18" charset="0"/>
            <a:cs typeface="Aldhabi" panose="01000000000000000000" pitchFamily="2" charset="-78"/>
          </a:endParaRPr>
        </a:p>
      </xdr:txBody>
    </xdr:sp>
    <xdr:clientData/>
  </xdr:twoCellAnchor>
  <xdr:twoCellAnchor editAs="oneCell">
    <xdr:from>
      <xdr:col>0</xdr:col>
      <xdr:colOff>512727</xdr:colOff>
      <xdr:row>8</xdr:row>
      <xdr:rowOff>41454</xdr:rowOff>
    </xdr:from>
    <xdr:to>
      <xdr:col>3</xdr:col>
      <xdr:colOff>512727</xdr:colOff>
      <xdr:row>15</xdr:row>
      <xdr:rowOff>21295</xdr:rowOff>
    </xdr:to>
    <mc:AlternateContent xmlns:mc="http://schemas.openxmlformats.org/markup-compatibility/2006" xmlns:a14="http://schemas.microsoft.com/office/drawing/2010/main">
      <mc:Choice Requires="a14">
        <xdr:graphicFrame macro="">
          <xdr:nvGraphicFramePr>
            <xdr:cNvPr id="3" name="Month 1">
              <a:extLst>
                <a:ext uri="{FF2B5EF4-FFF2-40B4-BE49-F238E27FC236}">
                  <a16:creationId xmlns:a16="http://schemas.microsoft.com/office/drawing/2014/main" id="{2ED84B1E-0327-44AD-B071-C4782699599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12727" y="1540054"/>
              <a:ext cx="1828800" cy="1224441"/>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95249</xdr:colOff>
      <xdr:row>8</xdr:row>
      <xdr:rowOff>46224</xdr:rowOff>
    </xdr:from>
    <xdr:to>
      <xdr:col>8</xdr:col>
      <xdr:colOff>14779</xdr:colOff>
      <xdr:row>14</xdr:row>
      <xdr:rowOff>50459</xdr:rowOff>
    </xdr:to>
    <xdr:sp macro="" textlink="">
      <xdr:nvSpPr>
        <xdr:cNvPr id="14" name="Rectangle: Rounded Corners 13">
          <a:extLst>
            <a:ext uri="{FF2B5EF4-FFF2-40B4-BE49-F238E27FC236}">
              <a16:creationId xmlns:a16="http://schemas.microsoft.com/office/drawing/2014/main" id="{53C73C35-AA4E-B3CE-B248-2017355A831C}"/>
            </a:ext>
          </a:extLst>
        </xdr:cNvPr>
        <xdr:cNvSpPr/>
      </xdr:nvSpPr>
      <xdr:spPr>
        <a:xfrm>
          <a:off x="2515720" y="1547812"/>
          <a:ext cx="2340000" cy="108000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E" sz="1600" b="1">
              <a:solidFill>
                <a:schemeClr val="tx1"/>
              </a:solidFill>
              <a:latin typeface="Times New Roman" panose="02020603050405020304" pitchFamily="18" charset="0"/>
              <a:cs typeface="Times New Roman" panose="02020603050405020304" pitchFamily="18" charset="0"/>
            </a:rPr>
            <a:t>       Total</a:t>
          </a:r>
          <a:r>
            <a:rPr lang="en-AE" sz="1600" b="1" baseline="0">
              <a:solidFill>
                <a:schemeClr val="tx1"/>
              </a:solidFill>
              <a:latin typeface="Times New Roman" panose="02020603050405020304" pitchFamily="18" charset="0"/>
              <a:cs typeface="Times New Roman" panose="02020603050405020304" pitchFamily="18" charset="0"/>
            </a:rPr>
            <a:t> Revenue</a:t>
          </a:r>
          <a:endParaRPr lang="en-AE" sz="16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65109</xdr:colOff>
      <xdr:row>10</xdr:row>
      <xdr:rowOff>157971</xdr:rowOff>
    </xdr:from>
    <xdr:to>
      <xdr:col>7</xdr:col>
      <xdr:colOff>303359</xdr:colOff>
      <xdr:row>12</xdr:row>
      <xdr:rowOff>85080</xdr:rowOff>
    </xdr:to>
    <xdr:sp macro="" textlink="#REF!">
      <xdr:nvSpPr>
        <xdr:cNvPr id="15" name="TextBox 14">
          <a:extLst>
            <a:ext uri="{FF2B5EF4-FFF2-40B4-BE49-F238E27FC236}">
              <a16:creationId xmlns:a16="http://schemas.microsoft.com/office/drawing/2014/main" id="{15AF56BE-0045-3474-0B99-610BD1B756A3}"/>
            </a:ext>
          </a:extLst>
        </xdr:cNvPr>
        <xdr:cNvSpPr txBox="1"/>
      </xdr:nvSpPr>
      <xdr:spPr>
        <a:xfrm>
          <a:off x="3090697" y="2018147"/>
          <a:ext cx="1448486" cy="285698"/>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03A25DE-302C-4681-9140-D9776F37E0E9}" type="TxLink">
            <a:rPr lang="en-US" sz="1600" b="1" i="0" u="none" strike="noStrike">
              <a:solidFill>
                <a:srgbClr val="000000"/>
              </a:solidFill>
              <a:latin typeface="Calibri"/>
              <a:ea typeface="Calibri"/>
              <a:cs typeface="Calibri"/>
            </a:rPr>
            <a:pPr algn="ctr"/>
            <a:t>₹ 769,516</a:t>
          </a:fld>
          <a:endParaRPr lang="en-AE" sz="1600" b="1"/>
        </a:p>
      </xdr:txBody>
    </xdr:sp>
    <xdr:clientData/>
  </xdr:twoCellAnchor>
  <xdr:twoCellAnchor editAs="oneCell">
    <xdr:from>
      <xdr:col>4</xdr:col>
      <xdr:colOff>206029</xdr:colOff>
      <xdr:row>1</xdr:row>
      <xdr:rowOff>13218</xdr:rowOff>
    </xdr:from>
    <xdr:to>
      <xdr:col>5</xdr:col>
      <xdr:colOff>312048</xdr:colOff>
      <xdr:row>4</xdr:row>
      <xdr:rowOff>164515</xdr:rowOff>
    </xdr:to>
    <xdr:pic>
      <xdr:nvPicPr>
        <xdr:cNvPr id="17" name="Graphic 16" descr="Fork and knife with solid fill">
          <a:extLst>
            <a:ext uri="{FF2B5EF4-FFF2-40B4-BE49-F238E27FC236}">
              <a16:creationId xmlns:a16="http://schemas.microsoft.com/office/drawing/2014/main" id="{B5EE03CD-A180-7ED7-BEB7-6835993AC37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44429" y="267218"/>
          <a:ext cx="715619" cy="684697"/>
        </a:xfrm>
        <a:prstGeom prst="rect">
          <a:avLst/>
        </a:prstGeom>
      </xdr:spPr>
    </xdr:pic>
    <xdr:clientData/>
  </xdr:twoCellAnchor>
  <xdr:twoCellAnchor>
    <xdr:from>
      <xdr:col>8</xdr:col>
      <xdr:colOff>169490</xdr:colOff>
      <xdr:row>8</xdr:row>
      <xdr:rowOff>57431</xdr:rowOff>
    </xdr:from>
    <xdr:to>
      <xdr:col>12</xdr:col>
      <xdr:colOff>89019</xdr:colOff>
      <xdr:row>14</xdr:row>
      <xdr:rowOff>61666</xdr:rowOff>
    </xdr:to>
    <xdr:sp macro="" textlink="">
      <xdr:nvSpPr>
        <xdr:cNvPr id="20" name="Rectangle: Rounded Corners 19">
          <a:extLst>
            <a:ext uri="{FF2B5EF4-FFF2-40B4-BE49-F238E27FC236}">
              <a16:creationId xmlns:a16="http://schemas.microsoft.com/office/drawing/2014/main" id="{6C683C37-716E-E17A-2555-FCF1FE53D5C8}"/>
            </a:ext>
          </a:extLst>
        </xdr:cNvPr>
        <xdr:cNvSpPr/>
      </xdr:nvSpPr>
      <xdr:spPr>
        <a:xfrm>
          <a:off x="5010431" y="1559019"/>
          <a:ext cx="2340000" cy="1080000"/>
        </a:xfrm>
        <a:prstGeom prst="round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E" sz="1600" b="1">
              <a:latin typeface="Times New Roman" panose="02020603050405020304" pitchFamily="18" charset="0"/>
              <a:cs typeface="Times New Roman" panose="02020603050405020304" pitchFamily="18" charset="0"/>
            </a:rPr>
            <a:t>          </a:t>
          </a:r>
          <a:r>
            <a:rPr lang="en-AE" sz="1600" b="1">
              <a:solidFill>
                <a:schemeClr val="tx1"/>
              </a:solidFill>
              <a:latin typeface="Times New Roman" panose="02020603050405020304" pitchFamily="18" charset="0"/>
              <a:cs typeface="Times New Roman" panose="02020603050405020304" pitchFamily="18" charset="0"/>
            </a:rPr>
            <a:t>Average Revenue</a:t>
          </a:r>
        </a:p>
      </xdr:txBody>
    </xdr:sp>
    <xdr:clientData/>
  </xdr:twoCellAnchor>
  <xdr:twoCellAnchor>
    <xdr:from>
      <xdr:col>20</xdr:col>
      <xdr:colOff>227219</xdr:colOff>
      <xdr:row>15</xdr:row>
      <xdr:rowOff>62361</xdr:rowOff>
    </xdr:from>
    <xdr:to>
      <xdr:col>28</xdr:col>
      <xdr:colOff>246278</xdr:colOff>
      <xdr:row>31</xdr:row>
      <xdr:rowOff>145655</xdr:rowOff>
    </xdr:to>
    <xdr:graphicFrame macro="">
      <xdr:nvGraphicFramePr>
        <xdr:cNvPr id="4" name="Chart 3">
          <a:extLst>
            <a:ext uri="{FF2B5EF4-FFF2-40B4-BE49-F238E27FC236}">
              <a16:creationId xmlns:a16="http://schemas.microsoft.com/office/drawing/2014/main" id="{5C345B63-D809-4151-B44F-A706C85D44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562143</xdr:colOff>
      <xdr:row>15</xdr:row>
      <xdr:rowOff>94577</xdr:rowOff>
    </xdr:from>
    <xdr:to>
      <xdr:col>11</xdr:col>
      <xdr:colOff>581202</xdr:colOff>
      <xdr:row>31</xdr:row>
      <xdr:rowOff>177871</xdr:rowOff>
    </xdr:to>
    <xdr:graphicFrame macro="">
      <xdr:nvGraphicFramePr>
        <xdr:cNvPr id="2" name="Chart 1">
          <a:extLst>
            <a:ext uri="{FF2B5EF4-FFF2-40B4-BE49-F238E27FC236}">
              <a16:creationId xmlns:a16="http://schemas.microsoft.com/office/drawing/2014/main" id="{384EA2B2-7552-4AB9-862D-4F266C9A8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209174</xdr:colOff>
      <xdr:row>32</xdr:row>
      <xdr:rowOff>98896</xdr:rowOff>
    </xdr:from>
    <xdr:to>
      <xdr:col>28</xdr:col>
      <xdr:colOff>228233</xdr:colOff>
      <xdr:row>49</xdr:row>
      <xdr:rowOff>2896</xdr:rowOff>
    </xdr:to>
    <xdr:graphicFrame macro="">
      <xdr:nvGraphicFramePr>
        <xdr:cNvPr id="10" name="Chart 9">
          <a:extLst>
            <a:ext uri="{FF2B5EF4-FFF2-40B4-BE49-F238E27FC236}">
              <a16:creationId xmlns:a16="http://schemas.microsoft.com/office/drawing/2014/main" id="{6895DBCA-A89A-47D0-AB74-4B1A97226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89804</xdr:colOff>
      <xdr:row>15</xdr:row>
      <xdr:rowOff>87334</xdr:rowOff>
    </xdr:from>
    <xdr:to>
      <xdr:col>20</xdr:col>
      <xdr:colOff>108863</xdr:colOff>
      <xdr:row>31</xdr:row>
      <xdr:rowOff>170628</xdr:rowOff>
    </xdr:to>
    <xdr:graphicFrame macro="">
      <xdr:nvGraphicFramePr>
        <xdr:cNvPr id="8" name="Chart 7">
          <a:extLst>
            <a:ext uri="{FF2B5EF4-FFF2-40B4-BE49-F238E27FC236}">
              <a16:creationId xmlns:a16="http://schemas.microsoft.com/office/drawing/2014/main" id="{BF164864-A236-4015-AB4C-4CB34975E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571629</xdr:colOff>
      <xdr:row>32</xdr:row>
      <xdr:rowOff>119063</xdr:rowOff>
    </xdr:from>
    <xdr:to>
      <xdr:col>11</xdr:col>
      <xdr:colOff>590688</xdr:colOff>
      <xdr:row>49</xdr:row>
      <xdr:rowOff>23063</xdr:rowOff>
    </xdr:to>
    <xdr:graphicFrame macro="">
      <xdr:nvGraphicFramePr>
        <xdr:cNvPr id="9" name="Chart 8">
          <a:extLst>
            <a:ext uri="{FF2B5EF4-FFF2-40B4-BE49-F238E27FC236}">
              <a16:creationId xmlns:a16="http://schemas.microsoft.com/office/drawing/2014/main" id="{004B0985-8362-435C-B7C0-5C19AFCA6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494498</xdr:colOff>
      <xdr:row>15</xdr:row>
      <xdr:rowOff>84361</xdr:rowOff>
    </xdr:from>
    <xdr:to>
      <xdr:col>3</xdr:col>
      <xdr:colOff>489735</xdr:colOff>
      <xdr:row>25</xdr:row>
      <xdr:rowOff>89647</xdr:rowOff>
    </xdr:to>
    <mc:AlternateContent xmlns:mc="http://schemas.openxmlformats.org/markup-compatibility/2006" xmlns:a14="http://schemas.microsoft.com/office/drawing/2010/main">
      <mc:Choice Requires="a14">
        <xdr:graphicFrame macro="">
          <xdr:nvGraphicFramePr>
            <xdr:cNvPr id="11" name="Product 2">
              <a:extLst>
                <a:ext uri="{FF2B5EF4-FFF2-40B4-BE49-F238E27FC236}">
                  <a16:creationId xmlns:a16="http://schemas.microsoft.com/office/drawing/2014/main" id="{6ABADC1B-7FF7-49E0-A6CE-3537F89406A6}"/>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494498" y="2827561"/>
              <a:ext cx="1824037" cy="1783286"/>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522476</xdr:colOff>
      <xdr:row>10</xdr:row>
      <xdr:rowOff>134472</xdr:rowOff>
    </xdr:from>
    <xdr:to>
      <xdr:col>11</xdr:col>
      <xdr:colOff>537883</xdr:colOff>
      <xdr:row>12</xdr:row>
      <xdr:rowOff>80776</xdr:rowOff>
    </xdr:to>
    <xdr:sp macro="" textlink="#REF!">
      <xdr:nvSpPr>
        <xdr:cNvPr id="16" name="TextBox 15">
          <a:extLst>
            <a:ext uri="{FF2B5EF4-FFF2-40B4-BE49-F238E27FC236}">
              <a16:creationId xmlns:a16="http://schemas.microsoft.com/office/drawing/2014/main" id="{6B52AEFD-2AE2-F7EB-C61F-4EEE9273076C}"/>
            </a:ext>
          </a:extLst>
        </xdr:cNvPr>
        <xdr:cNvSpPr txBox="1"/>
      </xdr:nvSpPr>
      <xdr:spPr>
        <a:xfrm>
          <a:off x="5968535" y="1994648"/>
          <a:ext cx="1225642" cy="304893"/>
        </a:xfrm>
        <a:prstGeom prst="rect">
          <a:avLst/>
        </a:prstGeom>
        <a:solidFill>
          <a:schemeClr val="tx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DAE80F-DB56-4A17-93D7-79DE92264DFA}" type="TxLink">
            <a:rPr lang="en-US" sz="1600" b="1" i="0" u="none" strike="noStrike">
              <a:solidFill>
                <a:srgbClr val="000000"/>
              </a:solidFill>
              <a:latin typeface="Calibri"/>
              <a:ea typeface="Calibri"/>
              <a:cs typeface="Calibri"/>
            </a:rPr>
            <a:pPr/>
            <a:t>₹ 3,102</a:t>
          </a:fld>
          <a:endParaRPr lang="en-AE" sz="1600" b="1"/>
        </a:p>
      </xdr:txBody>
    </xdr:sp>
    <xdr:clientData/>
  </xdr:twoCellAnchor>
  <xdr:twoCellAnchor editAs="oneCell">
    <xdr:from>
      <xdr:col>8</xdr:col>
      <xdr:colOff>212911</xdr:colOff>
      <xdr:row>9</xdr:row>
      <xdr:rowOff>73955</xdr:rowOff>
    </xdr:from>
    <xdr:to>
      <xdr:col>9</xdr:col>
      <xdr:colOff>358588</xdr:colOff>
      <xdr:row>13</xdr:row>
      <xdr:rowOff>107573</xdr:rowOff>
    </xdr:to>
    <xdr:pic>
      <xdr:nvPicPr>
        <xdr:cNvPr id="27" name="Graphic 26" descr="Bar chart with solid fill">
          <a:extLst>
            <a:ext uri="{FF2B5EF4-FFF2-40B4-BE49-F238E27FC236}">
              <a16:creationId xmlns:a16="http://schemas.microsoft.com/office/drawing/2014/main" id="{4C5CFD40-38CC-7654-8CBA-108D3A89FF7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053852" y="1754837"/>
          <a:ext cx="750795" cy="750795"/>
        </a:xfrm>
        <a:prstGeom prst="rect">
          <a:avLst/>
        </a:prstGeom>
      </xdr:spPr>
    </xdr:pic>
    <xdr:clientData/>
  </xdr:twoCellAnchor>
  <xdr:twoCellAnchor editAs="oneCell">
    <xdr:from>
      <xdr:col>4</xdr:col>
      <xdr:colOff>257736</xdr:colOff>
      <xdr:row>9</xdr:row>
      <xdr:rowOff>129988</xdr:rowOff>
    </xdr:from>
    <xdr:to>
      <xdr:col>5</xdr:col>
      <xdr:colOff>268943</xdr:colOff>
      <xdr:row>13</xdr:row>
      <xdr:rowOff>29135</xdr:rowOff>
    </xdr:to>
    <xdr:pic>
      <xdr:nvPicPr>
        <xdr:cNvPr id="29" name="Graphic 28" descr="Database with solid fill">
          <a:extLst>
            <a:ext uri="{FF2B5EF4-FFF2-40B4-BE49-F238E27FC236}">
              <a16:creationId xmlns:a16="http://schemas.microsoft.com/office/drawing/2014/main" id="{8F379A42-BA87-EF28-578C-778AE686B6B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678207" y="1810870"/>
          <a:ext cx="616324" cy="616324"/>
        </a:xfrm>
        <a:prstGeom prst="rect">
          <a:avLst/>
        </a:prstGeom>
      </xdr:spPr>
    </xdr:pic>
    <xdr:clientData/>
  </xdr:twoCellAnchor>
  <xdr:twoCellAnchor>
    <xdr:from>
      <xdr:col>12</xdr:col>
      <xdr:colOff>201704</xdr:colOff>
      <xdr:row>8</xdr:row>
      <xdr:rowOff>33619</xdr:rowOff>
    </xdr:from>
    <xdr:to>
      <xdr:col>16</xdr:col>
      <xdr:colOff>121234</xdr:colOff>
      <xdr:row>14</xdr:row>
      <xdr:rowOff>37854</xdr:rowOff>
    </xdr:to>
    <xdr:sp macro="" textlink="">
      <xdr:nvSpPr>
        <xdr:cNvPr id="30" name="Rectangle: Rounded Corners 29">
          <a:extLst>
            <a:ext uri="{FF2B5EF4-FFF2-40B4-BE49-F238E27FC236}">
              <a16:creationId xmlns:a16="http://schemas.microsoft.com/office/drawing/2014/main" id="{A98034F9-8D9A-E154-8945-48B992A68050}"/>
            </a:ext>
          </a:extLst>
        </xdr:cNvPr>
        <xdr:cNvSpPr/>
      </xdr:nvSpPr>
      <xdr:spPr>
        <a:xfrm>
          <a:off x="7463116" y="1535207"/>
          <a:ext cx="2340000" cy="1080000"/>
        </a:xfrm>
        <a:prstGeom prst="roundRect">
          <a:avLst>
            <a:gd name="adj" fmla="val 22996"/>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E" sz="1100">
              <a:solidFill>
                <a:schemeClr val="tx1"/>
              </a:solidFill>
            </a:rPr>
            <a:t>                    </a:t>
          </a:r>
          <a:r>
            <a:rPr lang="en-AE" sz="1600" b="1">
              <a:solidFill>
                <a:schemeClr val="tx1"/>
              </a:solidFill>
              <a:latin typeface="Times New Roman" panose="02020603050405020304" pitchFamily="18" charset="0"/>
              <a:cs typeface="Times New Roman" panose="02020603050405020304" pitchFamily="18" charset="0"/>
            </a:rPr>
            <a:t>Total Orders</a:t>
          </a:r>
        </a:p>
      </xdr:txBody>
    </xdr:sp>
    <xdr:clientData/>
  </xdr:twoCellAnchor>
  <xdr:twoCellAnchor>
    <xdr:from>
      <xdr:col>13</xdr:col>
      <xdr:colOff>403414</xdr:colOff>
      <xdr:row>10</xdr:row>
      <xdr:rowOff>33616</xdr:rowOff>
    </xdr:from>
    <xdr:to>
      <xdr:col>15</xdr:col>
      <xdr:colOff>291354</xdr:colOff>
      <xdr:row>13</xdr:row>
      <xdr:rowOff>33617</xdr:rowOff>
    </xdr:to>
    <xdr:sp macro="" textlink="'Cleaned Data'!O6">
      <xdr:nvSpPr>
        <xdr:cNvPr id="31" name="TextBox 30">
          <a:extLst>
            <a:ext uri="{FF2B5EF4-FFF2-40B4-BE49-F238E27FC236}">
              <a16:creationId xmlns:a16="http://schemas.microsoft.com/office/drawing/2014/main" id="{5EBECF30-DE36-3FFC-D997-B6030913568F}"/>
            </a:ext>
          </a:extLst>
        </xdr:cNvPr>
        <xdr:cNvSpPr txBox="1"/>
      </xdr:nvSpPr>
      <xdr:spPr>
        <a:xfrm>
          <a:off x="8269943" y="1893792"/>
          <a:ext cx="1098176" cy="537884"/>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rgbClr val="000000"/>
              </a:solidFill>
              <a:latin typeface="Times New Roman" panose="02020603050405020304" pitchFamily="18" charset="0"/>
              <a:ea typeface="Calibri"/>
              <a:cs typeface="Times New Roman" panose="02020603050405020304" pitchFamily="18" charset="0"/>
            </a:rPr>
            <a:t> </a:t>
          </a:r>
          <a:fld id="{EA3B609A-243C-4EE9-99AD-F1558FEF8EB2}"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pPr algn="ctr"/>
            <a:t>254</a:t>
          </a:fld>
          <a:endParaRPr lang="en-AE" sz="1600" b="1">
            <a:latin typeface="Times New Roman" panose="02020603050405020304" pitchFamily="18" charset="0"/>
            <a:cs typeface="Times New Roman" panose="02020603050405020304" pitchFamily="18" charset="0"/>
          </a:endParaRPr>
        </a:p>
      </xdr:txBody>
    </xdr:sp>
    <xdr:clientData/>
  </xdr:twoCellAnchor>
  <xdr:twoCellAnchor editAs="oneCell">
    <xdr:from>
      <xdr:col>12</xdr:col>
      <xdr:colOff>302559</xdr:colOff>
      <xdr:row>9</xdr:row>
      <xdr:rowOff>33617</xdr:rowOff>
    </xdr:from>
    <xdr:to>
      <xdr:col>13</xdr:col>
      <xdr:colOff>432547</xdr:colOff>
      <xdr:row>13</xdr:row>
      <xdr:rowOff>51545</xdr:rowOff>
    </xdr:to>
    <xdr:pic>
      <xdr:nvPicPr>
        <xdr:cNvPr id="35" name="Graphic 34" descr="Burger and drink with solid fill">
          <a:extLst>
            <a:ext uri="{FF2B5EF4-FFF2-40B4-BE49-F238E27FC236}">
              <a16:creationId xmlns:a16="http://schemas.microsoft.com/office/drawing/2014/main" id="{558623EC-17B3-3726-B8DF-7ADF2358FB4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563971" y="1714499"/>
          <a:ext cx="735105" cy="735105"/>
        </a:xfrm>
        <a:prstGeom prst="rect">
          <a:avLst/>
        </a:prstGeom>
      </xdr:spPr>
    </xdr:pic>
    <xdr:clientData/>
  </xdr:twoCellAnchor>
  <xdr:twoCellAnchor>
    <xdr:from>
      <xdr:col>16</xdr:col>
      <xdr:colOff>212912</xdr:colOff>
      <xdr:row>8</xdr:row>
      <xdr:rowOff>33615</xdr:rowOff>
    </xdr:from>
    <xdr:to>
      <xdr:col>20</xdr:col>
      <xdr:colOff>132441</xdr:colOff>
      <xdr:row>14</xdr:row>
      <xdr:rowOff>37850</xdr:rowOff>
    </xdr:to>
    <xdr:sp macro="" textlink="">
      <xdr:nvSpPr>
        <xdr:cNvPr id="36" name="Rectangle: Rounded Corners 35">
          <a:extLst>
            <a:ext uri="{FF2B5EF4-FFF2-40B4-BE49-F238E27FC236}">
              <a16:creationId xmlns:a16="http://schemas.microsoft.com/office/drawing/2014/main" id="{0F1D861F-56F7-6334-4672-92CCEA694B2B}"/>
            </a:ext>
          </a:extLst>
        </xdr:cNvPr>
        <xdr:cNvSpPr/>
      </xdr:nvSpPr>
      <xdr:spPr>
        <a:xfrm>
          <a:off x="9894794" y="1535203"/>
          <a:ext cx="2340000" cy="108000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E" sz="1600" b="1">
              <a:solidFill>
                <a:schemeClr val="tx1"/>
              </a:solidFill>
              <a:latin typeface="Times New Roman" panose="02020603050405020304" pitchFamily="18" charset="0"/>
              <a:cs typeface="Times New Roman" panose="02020603050405020304" pitchFamily="18" charset="0"/>
            </a:rPr>
            <a:t>    Total Quantity sold</a:t>
          </a:r>
        </a:p>
      </xdr:txBody>
    </xdr:sp>
    <xdr:clientData/>
  </xdr:twoCellAnchor>
  <xdr:twoCellAnchor>
    <xdr:from>
      <xdr:col>17</xdr:col>
      <xdr:colOff>403410</xdr:colOff>
      <xdr:row>11</xdr:row>
      <xdr:rowOff>0</xdr:rowOff>
    </xdr:from>
    <xdr:to>
      <xdr:col>19</xdr:col>
      <xdr:colOff>437028</xdr:colOff>
      <xdr:row>12</xdr:row>
      <xdr:rowOff>156882</xdr:rowOff>
    </xdr:to>
    <xdr:sp macro="" textlink="#REF!">
      <xdr:nvSpPr>
        <xdr:cNvPr id="37" name="TextBox 36">
          <a:extLst>
            <a:ext uri="{FF2B5EF4-FFF2-40B4-BE49-F238E27FC236}">
              <a16:creationId xmlns:a16="http://schemas.microsoft.com/office/drawing/2014/main" id="{5E0BEE59-B205-A92B-EEF5-979A59333B3E}"/>
            </a:ext>
          </a:extLst>
        </xdr:cNvPr>
        <xdr:cNvSpPr txBox="1"/>
      </xdr:nvSpPr>
      <xdr:spPr>
        <a:xfrm>
          <a:off x="10690410" y="2039471"/>
          <a:ext cx="1243853" cy="336176"/>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rgbClr val="000000"/>
              </a:solidFill>
              <a:latin typeface="Times New Roman" panose="02020603050405020304" pitchFamily="18" charset="0"/>
              <a:ea typeface="Calibri"/>
              <a:cs typeface="Times New Roman" panose="02020603050405020304" pitchFamily="18" charset="0"/>
            </a:rPr>
            <a:t>    </a:t>
          </a:r>
          <a:fld id="{7D5E771E-5C33-40B3-B33C-9811E9AAE9BA}"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pPr/>
            <a:t>116995</a:t>
          </a:fld>
          <a:endParaRPr lang="en-AE" sz="1600" b="1">
            <a:latin typeface="Times New Roman" panose="02020603050405020304" pitchFamily="18" charset="0"/>
            <a:cs typeface="Times New Roman" panose="02020603050405020304" pitchFamily="18" charset="0"/>
          </a:endParaRPr>
        </a:p>
      </xdr:txBody>
    </xdr:sp>
    <xdr:clientData/>
  </xdr:twoCellAnchor>
  <xdr:twoCellAnchor editAs="oneCell">
    <xdr:from>
      <xdr:col>16</xdr:col>
      <xdr:colOff>313766</xdr:colOff>
      <xdr:row>9</xdr:row>
      <xdr:rowOff>179293</xdr:rowOff>
    </xdr:from>
    <xdr:to>
      <xdr:col>17</xdr:col>
      <xdr:colOff>454960</xdr:colOff>
      <xdr:row>14</xdr:row>
      <xdr:rowOff>29134</xdr:rowOff>
    </xdr:to>
    <xdr:pic>
      <xdr:nvPicPr>
        <xdr:cNvPr id="39" name="Graphic 38" descr="Users with solid fill">
          <a:extLst>
            <a:ext uri="{FF2B5EF4-FFF2-40B4-BE49-F238E27FC236}">
              <a16:creationId xmlns:a16="http://schemas.microsoft.com/office/drawing/2014/main" id="{82EC6EBC-E047-4227-8D7D-07C485CDAD4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995648" y="1860175"/>
          <a:ext cx="746312" cy="746312"/>
        </a:xfrm>
        <a:prstGeom prst="rect">
          <a:avLst/>
        </a:prstGeom>
      </xdr:spPr>
    </xdr:pic>
    <xdr:clientData/>
  </xdr:twoCellAnchor>
  <xdr:twoCellAnchor>
    <xdr:from>
      <xdr:col>20</xdr:col>
      <xdr:colOff>224116</xdr:colOff>
      <xdr:row>8</xdr:row>
      <xdr:rowOff>11206</xdr:rowOff>
    </xdr:from>
    <xdr:to>
      <xdr:col>24</xdr:col>
      <xdr:colOff>143645</xdr:colOff>
      <xdr:row>14</xdr:row>
      <xdr:rowOff>15441</xdr:rowOff>
    </xdr:to>
    <xdr:sp macro="" textlink="">
      <xdr:nvSpPr>
        <xdr:cNvPr id="40" name="Rectangle: Rounded Corners 39">
          <a:extLst>
            <a:ext uri="{FF2B5EF4-FFF2-40B4-BE49-F238E27FC236}">
              <a16:creationId xmlns:a16="http://schemas.microsoft.com/office/drawing/2014/main" id="{6D96327D-6DF5-6EC7-2F56-AC188B4C8F4F}"/>
            </a:ext>
          </a:extLst>
        </xdr:cNvPr>
        <xdr:cNvSpPr/>
      </xdr:nvSpPr>
      <xdr:spPr>
        <a:xfrm>
          <a:off x="12326469" y="1512794"/>
          <a:ext cx="2340000" cy="108000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E" sz="1600" b="1">
              <a:solidFill>
                <a:schemeClr val="tx1"/>
              </a:solidFill>
              <a:latin typeface="Times New Roman" panose="02020603050405020304" pitchFamily="18" charset="0"/>
              <a:cs typeface="Times New Roman" panose="02020603050405020304" pitchFamily="18" charset="0"/>
            </a:rPr>
            <a:t>Top city</a:t>
          </a:r>
        </a:p>
        <a:p>
          <a:pPr algn="l"/>
          <a:endParaRPr lang="en-AE" sz="1100"/>
        </a:p>
        <a:p>
          <a:pPr algn="ctr"/>
          <a:r>
            <a:rPr lang="en-AE" sz="1100"/>
            <a:t>   </a:t>
          </a:r>
          <a:r>
            <a:rPr lang="en-AE" sz="2000" b="1">
              <a:solidFill>
                <a:schemeClr val="tx1"/>
              </a:solidFill>
              <a:latin typeface="Times New Roman" panose="02020603050405020304" pitchFamily="18" charset="0"/>
              <a:cs typeface="Times New Roman" panose="02020603050405020304" pitchFamily="18" charset="0"/>
            </a:rPr>
            <a:t>Lisbon</a:t>
          </a:r>
        </a:p>
      </xdr:txBody>
    </xdr:sp>
    <xdr:clientData/>
  </xdr:twoCellAnchor>
  <xdr:twoCellAnchor editAs="oneCell">
    <xdr:from>
      <xdr:col>20</xdr:col>
      <xdr:colOff>280148</xdr:colOff>
      <xdr:row>8</xdr:row>
      <xdr:rowOff>134470</xdr:rowOff>
    </xdr:from>
    <xdr:to>
      <xdr:col>21</xdr:col>
      <xdr:colOff>369794</xdr:colOff>
      <xdr:row>12</xdr:row>
      <xdr:rowOff>112057</xdr:rowOff>
    </xdr:to>
    <xdr:pic>
      <xdr:nvPicPr>
        <xdr:cNvPr id="42" name="Graphic 41" descr="Marker with solid fill">
          <a:extLst>
            <a:ext uri="{FF2B5EF4-FFF2-40B4-BE49-F238E27FC236}">
              <a16:creationId xmlns:a16="http://schemas.microsoft.com/office/drawing/2014/main" id="{85EA75BC-E766-7C95-C545-954EC085C5F7}"/>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2382501" y="1636058"/>
          <a:ext cx="694764" cy="694764"/>
        </a:xfrm>
        <a:prstGeom prst="rect">
          <a:avLst/>
        </a:prstGeom>
      </xdr:spPr>
    </xdr:pic>
    <xdr:clientData/>
  </xdr:twoCellAnchor>
  <xdr:twoCellAnchor>
    <xdr:from>
      <xdr:col>24</xdr:col>
      <xdr:colOff>212911</xdr:colOff>
      <xdr:row>8</xdr:row>
      <xdr:rowOff>11205</xdr:rowOff>
    </xdr:from>
    <xdr:to>
      <xdr:col>28</xdr:col>
      <xdr:colOff>132441</xdr:colOff>
      <xdr:row>14</xdr:row>
      <xdr:rowOff>15440</xdr:rowOff>
    </xdr:to>
    <xdr:sp macro="" textlink="">
      <xdr:nvSpPr>
        <xdr:cNvPr id="43" name="Rectangle: Rounded Corners 42">
          <a:extLst>
            <a:ext uri="{FF2B5EF4-FFF2-40B4-BE49-F238E27FC236}">
              <a16:creationId xmlns:a16="http://schemas.microsoft.com/office/drawing/2014/main" id="{71885003-7FE7-1C1A-6EE9-5AAAD669DF29}"/>
            </a:ext>
          </a:extLst>
        </xdr:cNvPr>
        <xdr:cNvSpPr/>
      </xdr:nvSpPr>
      <xdr:spPr>
        <a:xfrm>
          <a:off x="14735735" y="1512793"/>
          <a:ext cx="2340000" cy="10800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E" sz="1600" b="1">
              <a:solidFill>
                <a:schemeClr val="tx1"/>
              </a:solidFill>
              <a:latin typeface="Times New Roman" panose="02020603050405020304" pitchFamily="18" charset="0"/>
              <a:cs typeface="Times New Roman" panose="02020603050405020304" pitchFamily="18" charset="0"/>
            </a:rPr>
            <a:t>Top Manager</a:t>
          </a:r>
        </a:p>
        <a:p>
          <a:pPr algn="ctr"/>
          <a:endParaRPr lang="en-AE" sz="1600" b="1">
            <a:solidFill>
              <a:schemeClr val="tx1"/>
            </a:solidFill>
            <a:latin typeface="Times New Roman" panose="02020603050405020304" pitchFamily="18" charset="0"/>
            <a:cs typeface="Times New Roman" panose="02020603050405020304" pitchFamily="18" charset="0"/>
          </a:endParaRPr>
        </a:p>
        <a:p>
          <a:pPr algn="ctr"/>
          <a:r>
            <a:rPr lang="en-AE" sz="2000" b="1">
              <a:solidFill>
                <a:schemeClr val="tx1"/>
              </a:solidFill>
              <a:latin typeface="Times New Roman" panose="02020603050405020304" pitchFamily="18" charset="0"/>
              <a:cs typeface="Times New Roman" panose="02020603050405020304" pitchFamily="18" charset="0"/>
            </a:rPr>
            <a:t> </a:t>
          </a:r>
        </a:p>
      </xdr:txBody>
    </xdr:sp>
    <xdr:clientData/>
  </xdr:twoCellAnchor>
  <xdr:twoCellAnchor>
    <xdr:from>
      <xdr:col>25</xdr:col>
      <xdr:colOff>414618</xdr:colOff>
      <xdr:row>10</xdr:row>
      <xdr:rowOff>112058</xdr:rowOff>
    </xdr:from>
    <xdr:to>
      <xdr:col>27</xdr:col>
      <xdr:colOff>459442</xdr:colOff>
      <xdr:row>12</xdr:row>
      <xdr:rowOff>134469</xdr:rowOff>
    </xdr:to>
    <xdr:sp macro="" textlink="">
      <xdr:nvSpPr>
        <xdr:cNvPr id="44" name="TextBox 43">
          <a:extLst>
            <a:ext uri="{FF2B5EF4-FFF2-40B4-BE49-F238E27FC236}">
              <a16:creationId xmlns:a16="http://schemas.microsoft.com/office/drawing/2014/main" id="{CB6F4585-5F37-9037-622C-B3E735A7235D}"/>
            </a:ext>
          </a:extLst>
        </xdr:cNvPr>
        <xdr:cNvSpPr txBox="1"/>
      </xdr:nvSpPr>
      <xdr:spPr>
        <a:xfrm>
          <a:off x="15542559" y="1972234"/>
          <a:ext cx="1255059" cy="38100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E" sz="1800" b="1">
              <a:solidFill>
                <a:schemeClr val="dk1"/>
              </a:solidFill>
              <a:effectLst/>
              <a:latin typeface="Times New Roman" panose="02020603050405020304" pitchFamily="18" charset="0"/>
              <a:ea typeface="+mn-ea"/>
              <a:cs typeface="Times New Roman" panose="02020603050405020304" pitchFamily="18" charset="0"/>
            </a:rPr>
            <a:t>Joao Silva</a:t>
          </a:r>
          <a:endParaRPr lang="en-AE" sz="1800" b="1">
            <a:effectLst/>
            <a:latin typeface="Times New Roman" panose="02020603050405020304" pitchFamily="18" charset="0"/>
            <a:cs typeface="Times New Roman" panose="02020603050405020304" pitchFamily="18" charset="0"/>
          </a:endParaRPr>
        </a:p>
        <a:p>
          <a:endParaRPr lang="en-AE" sz="1100"/>
        </a:p>
      </xdr:txBody>
    </xdr:sp>
    <xdr:clientData/>
  </xdr:twoCellAnchor>
  <xdr:twoCellAnchor editAs="oneCell">
    <xdr:from>
      <xdr:col>24</xdr:col>
      <xdr:colOff>302558</xdr:colOff>
      <xdr:row>9</xdr:row>
      <xdr:rowOff>44825</xdr:rowOff>
    </xdr:from>
    <xdr:to>
      <xdr:col>25</xdr:col>
      <xdr:colOff>392205</xdr:colOff>
      <xdr:row>13</xdr:row>
      <xdr:rowOff>22412</xdr:rowOff>
    </xdr:to>
    <xdr:pic>
      <xdr:nvPicPr>
        <xdr:cNvPr id="46" name="Graphic 45" descr="User with solid fill">
          <a:extLst>
            <a:ext uri="{FF2B5EF4-FFF2-40B4-BE49-F238E27FC236}">
              <a16:creationId xmlns:a16="http://schemas.microsoft.com/office/drawing/2014/main" id="{4EAE378A-6A10-75BE-5909-C6633E461273}"/>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4825382" y="1725707"/>
          <a:ext cx="694764" cy="694764"/>
        </a:xfrm>
        <a:prstGeom prst="rect">
          <a:avLst/>
        </a:prstGeom>
      </xdr:spPr>
    </xdr:pic>
    <xdr:clientData/>
  </xdr:twoCellAnchor>
  <xdr:twoCellAnchor>
    <xdr:from>
      <xdr:col>12</xdr:col>
      <xdr:colOff>75637</xdr:colOff>
      <xdr:row>32</xdr:row>
      <xdr:rowOff>117849</xdr:rowOff>
    </xdr:from>
    <xdr:to>
      <xdr:col>20</xdr:col>
      <xdr:colOff>94696</xdr:colOff>
      <xdr:row>49</xdr:row>
      <xdr:rowOff>21849</xdr:rowOff>
    </xdr:to>
    <xdr:graphicFrame macro="">
      <xdr:nvGraphicFramePr>
        <xdr:cNvPr id="47" name="Chart 46">
          <a:extLst>
            <a:ext uri="{FF2B5EF4-FFF2-40B4-BE49-F238E27FC236}">
              <a16:creationId xmlns:a16="http://schemas.microsoft.com/office/drawing/2014/main" id="{41606AC0-6284-46D6-AAC2-306C851E7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0</xdr:col>
      <xdr:colOff>470646</xdr:colOff>
      <xdr:row>25</xdr:row>
      <xdr:rowOff>168088</xdr:rowOff>
    </xdr:from>
    <xdr:to>
      <xdr:col>3</xdr:col>
      <xdr:colOff>484093</xdr:colOff>
      <xdr:row>35</xdr:row>
      <xdr:rowOff>168088</xdr:rowOff>
    </xdr:to>
    <mc:AlternateContent xmlns:mc="http://schemas.openxmlformats.org/markup-compatibility/2006" xmlns:a14="http://schemas.microsoft.com/office/drawing/2010/main">
      <mc:Choice Requires="a14">
        <xdr:graphicFrame macro="">
          <xdr:nvGraphicFramePr>
            <xdr:cNvPr id="48" name="City 1">
              <a:extLst>
                <a:ext uri="{FF2B5EF4-FFF2-40B4-BE49-F238E27FC236}">
                  <a16:creationId xmlns:a16="http://schemas.microsoft.com/office/drawing/2014/main" id="{9318AE2A-A49C-495B-ABCF-3B422491F0BF}"/>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470646" y="4689288"/>
              <a:ext cx="1842247" cy="17780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470646</xdr:colOff>
      <xdr:row>36</xdr:row>
      <xdr:rowOff>44823</xdr:rowOff>
    </xdr:from>
    <xdr:to>
      <xdr:col>3</xdr:col>
      <xdr:colOff>484093</xdr:colOff>
      <xdr:row>43</xdr:row>
      <xdr:rowOff>138505</xdr:rowOff>
    </xdr:to>
    <mc:AlternateContent xmlns:mc="http://schemas.openxmlformats.org/markup-compatibility/2006" xmlns:a14="http://schemas.microsoft.com/office/drawing/2010/main">
      <mc:Choice Requires="a14">
        <xdr:graphicFrame macro="">
          <xdr:nvGraphicFramePr>
            <xdr:cNvPr id="49" name="Purchase Type 1">
              <a:extLst>
                <a:ext uri="{FF2B5EF4-FFF2-40B4-BE49-F238E27FC236}">
                  <a16:creationId xmlns:a16="http://schemas.microsoft.com/office/drawing/2014/main" id="{A27E8904-6DDF-4606-9FE9-1AD49B8FDE9C}"/>
                </a:ext>
              </a:extLst>
            </xdr:cNvPr>
            <xdr:cNvGraphicFramePr/>
          </xdr:nvGraphicFramePr>
          <xdr:xfrm>
            <a:off x="0" y="0"/>
            <a:ext cx="0" cy="0"/>
          </xdr:xfrm>
          <a:graphic>
            <a:graphicData uri="http://schemas.microsoft.com/office/drawing/2010/slicer">
              <sle:slicer xmlns:sle="http://schemas.microsoft.com/office/drawing/2010/slicer" name="Purchase Type 1"/>
            </a:graphicData>
          </a:graphic>
        </xdr:graphicFrame>
      </mc:Choice>
      <mc:Fallback xmlns="">
        <xdr:sp macro="" textlink="">
          <xdr:nvSpPr>
            <xdr:cNvPr id="0" name=""/>
            <xdr:cNvSpPr>
              <a:spLocks noTextEdit="1"/>
            </xdr:cNvSpPr>
          </xdr:nvSpPr>
          <xdr:spPr>
            <a:xfrm>
              <a:off x="470646" y="6521823"/>
              <a:ext cx="1842247" cy="133828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459440</xdr:colOff>
      <xdr:row>44</xdr:row>
      <xdr:rowOff>11206</xdr:rowOff>
    </xdr:from>
    <xdr:to>
      <xdr:col>3</xdr:col>
      <xdr:colOff>472887</xdr:colOff>
      <xdr:row>51</xdr:row>
      <xdr:rowOff>36307</xdr:rowOff>
    </xdr:to>
    <mc:AlternateContent xmlns:mc="http://schemas.openxmlformats.org/markup-compatibility/2006" xmlns:a14="http://schemas.microsoft.com/office/drawing/2010/main">
      <mc:Choice Requires="a14">
        <xdr:graphicFrame macro="">
          <xdr:nvGraphicFramePr>
            <xdr:cNvPr id="50" name="Payment Method 1">
              <a:extLst>
                <a:ext uri="{FF2B5EF4-FFF2-40B4-BE49-F238E27FC236}">
                  <a16:creationId xmlns:a16="http://schemas.microsoft.com/office/drawing/2014/main" id="{38D9D1D0-07B3-407B-9348-54AED2F79D4F}"/>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459440" y="7910606"/>
              <a:ext cx="1842247" cy="1269701"/>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571500</xdr:colOff>
      <xdr:row>0</xdr:row>
      <xdr:rowOff>121920</xdr:rowOff>
    </xdr:from>
    <xdr:to>
      <xdr:col>15</xdr:col>
      <xdr:colOff>91440</xdr:colOff>
      <xdr:row>36</xdr:row>
      <xdr:rowOff>76200</xdr:rowOff>
    </xdr:to>
    <xdr:sp macro="" textlink="">
      <xdr:nvSpPr>
        <xdr:cNvPr id="3" name="Rectangle 2">
          <a:extLst>
            <a:ext uri="{FF2B5EF4-FFF2-40B4-BE49-F238E27FC236}">
              <a16:creationId xmlns:a16="http://schemas.microsoft.com/office/drawing/2014/main" id="{5AD35094-32AD-AA92-E0F0-E8CA8A865C16}"/>
            </a:ext>
          </a:extLst>
        </xdr:cNvPr>
        <xdr:cNvSpPr/>
      </xdr:nvSpPr>
      <xdr:spPr>
        <a:xfrm>
          <a:off x="1181100" y="121920"/>
          <a:ext cx="8054340" cy="6537960"/>
        </a:xfrm>
        <a:prstGeom prst="rect">
          <a:avLst/>
        </a:prstGeom>
        <a:gradFill>
          <a:gsLst>
            <a:gs pos="7000">
              <a:schemeClr val="bg1">
                <a:lumMod val="65000"/>
              </a:schemeClr>
            </a:gs>
            <a:gs pos="35000">
              <a:schemeClr val="bg1">
                <a:lumMod val="65000"/>
              </a:schemeClr>
            </a:gs>
            <a:gs pos="100000">
              <a:schemeClr val="tx1">
                <a:lumMod val="95000"/>
                <a:lumOff val="5000"/>
              </a:schemeClr>
            </a:gs>
          </a:gsLst>
          <a:path path="circle">
            <a:fillToRect r="100000" b="100000"/>
          </a:path>
        </a:gradFill>
        <a:ln w="34925">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prst="divo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a:p>
          <a:pPr algn="l"/>
          <a:endParaRPr lang="en-AE" sz="1100"/>
        </a:p>
        <a:p>
          <a:pPr algn="l"/>
          <a:endParaRPr lang="en-AE" sz="1100"/>
        </a:p>
        <a:p>
          <a:pPr algn="l"/>
          <a:endParaRPr lang="en-AE" sz="1100"/>
        </a:p>
        <a:p>
          <a:pPr algn="l"/>
          <a:endParaRPr lang="en-AE" sz="1100"/>
        </a:p>
        <a:p>
          <a:pPr algn="l"/>
          <a:endParaRPr lang="en-AE" sz="1100"/>
        </a:p>
        <a:p>
          <a:pPr algn="l"/>
          <a:endParaRPr lang="en-AE" sz="1100"/>
        </a:p>
        <a:p>
          <a:pPr algn="l"/>
          <a:r>
            <a:rPr lang="en-AE" sz="1100" baseline="0"/>
            <a:t>        </a:t>
          </a:r>
          <a:r>
            <a:rPr lang="en-AE" sz="1600" b="1" u="sng" baseline="0">
              <a:latin typeface="Times New Roman" panose="02020603050405020304" pitchFamily="18" charset="0"/>
              <a:cs typeface="Times New Roman" panose="02020603050405020304" pitchFamily="18" charset="0"/>
            </a:rPr>
            <a:t>BUSINESS QUESTION </a:t>
          </a:r>
        </a:p>
        <a:p>
          <a:pPr algn="l"/>
          <a:r>
            <a:rPr lang="en-AE" sz="1600" b="1" u="sng" baseline="0">
              <a:latin typeface="Times New Roman" panose="02020603050405020304" pitchFamily="18" charset="0"/>
              <a:cs typeface="Times New Roman" panose="02020603050405020304" pitchFamily="18" charset="0"/>
            </a:rPr>
            <a:t>    </a:t>
          </a:r>
        </a:p>
        <a:p>
          <a:pPr algn="l"/>
          <a:r>
            <a:rPr lang="en-AE" sz="1600" b="1" u="sng" baseline="0">
              <a:latin typeface="Times New Roman" panose="02020603050405020304" pitchFamily="18" charset="0"/>
              <a:cs typeface="Times New Roman" panose="02020603050405020304" pitchFamily="18" charset="0"/>
            </a:rPr>
            <a:t>       </a:t>
          </a:r>
          <a:endParaRPr lang="en-AE" sz="1600" b="1" u="sng">
            <a:latin typeface="Times New Roman" panose="02020603050405020304" pitchFamily="18" charset="0"/>
            <a:cs typeface="Times New Roman" panose="02020603050405020304" pitchFamily="18" charset="0"/>
          </a:endParaRPr>
        </a:p>
        <a:p>
          <a:pPr algn="l"/>
          <a:endParaRPr lang="en-AE" sz="1100"/>
        </a:p>
      </xdr:txBody>
    </xdr:sp>
    <xdr:clientData/>
  </xdr:twoCellAnchor>
  <xdr:twoCellAnchor>
    <xdr:from>
      <xdr:col>2</xdr:col>
      <xdr:colOff>274320</xdr:colOff>
      <xdr:row>3</xdr:row>
      <xdr:rowOff>15240</xdr:rowOff>
    </xdr:from>
    <xdr:to>
      <xdr:col>14</xdr:col>
      <xdr:colOff>266700</xdr:colOff>
      <xdr:row>6</xdr:row>
      <xdr:rowOff>60960</xdr:rowOff>
    </xdr:to>
    <xdr:sp macro="" textlink="">
      <xdr:nvSpPr>
        <xdr:cNvPr id="2" name="Rectangle: Rounded Corners 1">
          <a:extLst>
            <a:ext uri="{FF2B5EF4-FFF2-40B4-BE49-F238E27FC236}">
              <a16:creationId xmlns:a16="http://schemas.microsoft.com/office/drawing/2014/main" id="{A5D59890-CE69-468E-EF01-9AE5E7CC6E96}"/>
            </a:ext>
          </a:extLst>
        </xdr:cNvPr>
        <xdr:cNvSpPr/>
      </xdr:nvSpPr>
      <xdr:spPr>
        <a:xfrm>
          <a:off x="1493520" y="563880"/>
          <a:ext cx="7307580" cy="594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1800" b="1">
              <a:latin typeface="Times New Roman" panose="02020603050405020304" pitchFamily="18" charset="0"/>
              <a:cs typeface="Times New Roman" panose="02020603050405020304" pitchFamily="18" charset="0"/>
            </a:rPr>
            <a:t>BUSINESS</a:t>
          </a:r>
          <a:r>
            <a:rPr lang="en-AE" sz="1800" b="1" baseline="0">
              <a:latin typeface="Times New Roman" panose="02020603050405020304" pitchFamily="18" charset="0"/>
              <a:cs typeface="Times New Roman" panose="02020603050405020304" pitchFamily="18" charset="0"/>
            </a:rPr>
            <a:t> INSIGHTS &amp; RECOMMENDATIONS</a:t>
          </a:r>
          <a:endParaRPr lang="en-AE" sz="1800" b="1">
            <a:latin typeface="Times New Roman" panose="02020603050405020304" pitchFamily="18" charset="0"/>
            <a:cs typeface="Times New Roman" panose="02020603050405020304" pitchFamily="18" charset="0"/>
          </a:endParaRPr>
        </a:p>
      </xdr:txBody>
    </xdr:sp>
    <xdr:clientData/>
  </xdr:twoCellAnchor>
  <xdr:twoCellAnchor>
    <xdr:from>
      <xdr:col>2</xdr:col>
      <xdr:colOff>365760</xdr:colOff>
      <xdr:row>10</xdr:row>
      <xdr:rowOff>0</xdr:rowOff>
    </xdr:from>
    <xdr:to>
      <xdr:col>11</xdr:col>
      <xdr:colOff>350520</xdr:colOff>
      <xdr:row>21</xdr:row>
      <xdr:rowOff>0</xdr:rowOff>
    </xdr:to>
    <xdr:sp macro="" textlink="">
      <xdr:nvSpPr>
        <xdr:cNvPr id="4" name="Rectangle 3">
          <a:extLst>
            <a:ext uri="{FF2B5EF4-FFF2-40B4-BE49-F238E27FC236}">
              <a16:creationId xmlns:a16="http://schemas.microsoft.com/office/drawing/2014/main" id="{9BD66C6F-366A-0381-9967-3A7126DC8A1D}"/>
            </a:ext>
          </a:extLst>
        </xdr:cNvPr>
        <xdr:cNvSpPr/>
      </xdr:nvSpPr>
      <xdr:spPr>
        <a:xfrm>
          <a:off x="1584960" y="1828800"/>
          <a:ext cx="5471160" cy="20116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E" sz="1600" b="1">
              <a:latin typeface="Times New Roman" panose="02020603050405020304" pitchFamily="18" charset="0"/>
              <a:cs typeface="Times New Roman" panose="02020603050405020304" pitchFamily="18" charset="0"/>
            </a:rPr>
            <a:t>No.</a:t>
          </a:r>
          <a:r>
            <a:rPr lang="en-AE" sz="1100"/>
            <a:t>          </a:t>
          </a:r>
          <a:r>
            <a:rPr lang="en-AE" sz="1600" b="1">
              <a:latin typeface="Times New Roman" panose="02020603050405020304" pitchFamily="18" charset="0"/>
              <a:cs typeface="Times New Roman" panose="02020603050405020304" pitchFamily="18" charset="0"/>
            </a:rPr>
            <a:t>Questions</a:t>
          </a:r>
          <a:r>
            <a:rPr lang="en-AE" sz="1100"/>
            <a:t>                                                                          </a:t>
          </a:r>
          <a:r>
            <a:rPr lang="en-AE" sz="1800" b="1" u="none">
              <a:latin typeface="Times New Roman" panose="02020603050405020304" pitchFamily="18" charset="0"/>
              <a:cs typeface="Times New Roman" panose="02020603050405020304" pitchFamily="18" charset="0"/>
            </a:rPr>
            <a:t>Findings</a:t>
          </a:r>
        </a:p>
        <a:p>
          <a:pPr algn="l"/>
          <a:r>
            <a:rPr lang="en-AE" sz="1100"/>
            <a:t> </a:t>
          </a:r>
        </a:p>
        <a:p>
          <a:pPr algn="l"/>
          <a:r>
            <a:rPr lang="en-AE" sz="1100">
              <a:latin typeface="Times New Roman" panose="02020603050405020304" pitchFamily="18" charset="0"/>
              <a:cs typeface="Times New Roman" panose="02020603050405020304" pitchFamily="18" charset="0"/>
            </a:rPr>
            <a:t> 1.</a:t>
          </a:r>
          <a:r>
            <a:rPr lang="en-AE" sz="1100" baseline="0">
              <a:latin typeface="Times New Roman" panose="02020603050405020304" pitchFamily="18" charset="0"/>
              <a:cs typeface="Times New Roman" panose="02020603050405020304" pitchFamily="18" charset="0"/>
            </a:rPr>
            <a:t>     Which product generates the highest sales revenue?                  Burgers</a:t>
          </a:r>
        </a:p>
        <a:p>
          <a:pPr algn="l"/>
          <a:r>
            <a:rPr lang="en-AE" sz="1100" baseline="0">
              <a:latin typeface="Times New Roman" panose="02020603050405020304" pitchFamily="18" charset="0"/>
              <a:cs typeface="Times New Roman" panose="02020603050405020304" pitchFamily="18" charset="0"/>
            </a:rPr>
            <a:t> 2.     Which product has the highest quantity sold?                             Beverages </a:t>
          </a:r>
        </a:p>
        <a:p>
          <a:pPr algn="l"/>
          <a:r>
            <a:rPr lang="en-AE" sz="1100" baseline="0">
              <a:latin typeface="Times New Roman" panose="02020603050405020304" pitchFamily="18" charset="0"/>
              <a:cs typeface="Times New Roman" panose="02020603050405020304" pitchFamily="18" charset="0"/>
            </a:rPr>
            <a:t> 3.     Which city has the highest sales performance?                           Lisbon </a:t>
          </a:r>
        </a:p>
        <a:p>
          <a:pPr algn="l"/>
          <a:r>
            <a:rPr lang="en-AE" sz="1100" baseline="0">
              <a:latin typeface="Times New Roman" panose="02020603050405020304" pitchFamily="18" charset="0"/>
              <a:cs typeface="Times New Roman" panose="02020603050405020304" pitchFamily="18" charset="0"/>
            </a:rPr>
            <a:t> 4.     Which manager generates the highest total sales?                      Joao Silva  </a:t>
          </a:r>
        </a:p>
        <a:p>
          <a:pPr algn="l"/>
          <a:r>
            <a:rPr lang="en-AE" sz="1100" baseline="0">
              <a:latin typeface="Times New Roman" panose="02020603050405020304" pitchFamily="18" charset="0"/>
              <a:cs typeface="Times New Roman" panose="02020603050405020304" pitchFamily="18" charset="0"/>
            </a:rPr>
            <a:t> 5.     What is the sales trend over time?                                               Fluctuating Trend    </a:t>
          </a:r>
        </a:p>
        <a:p>
          <a:pPr algn="l"/>
          <a:r>
            <a:rPr lang="en-AE" sz="1100" baseline="0">
              <a:latin typeface="Times New Roman" panose="02020603050405020304" pitchFamily="18" charset="0"/>
              <a:cs typeface="Times New Roman" panose="02020603050405020304" pitchFamily="18" charset="0"/>
            </a:rPr>
            <a:t> 6.      How do sales compare between purchase type?                          In-store Performs better</a:t>
          </a:r>
          <a:endParaRPr lang="en-AE" sz="1100">
            <a:latin typeface="Times New Roman" panose="02020603050405020304" pitchFamily="18" charset="0"/>
            <a:cs typeface="Times New Roman" panose="02020603050405020304" pitchFamily="18" charset="0"/>
          </a:endParaRPr>
        </a:p>
      </xdr:txBody>
    </xdr:sp>
    <xdr:clientData/>
  </xdr:twoCellAnchor>
  <xdr:twoCellAnchor>
    <xdr:from>
      <xdr:col>8</xdr:col>
      <xdr:colOff>251460</xdr:colOff>
      <xdr:row>12</xdr:row>
      <xdr:rowOff>38100</xdr:rowOff>
    </xdr:from>
    <xdr:to>
      <xdr:col>8</xdr:col>
      <xdr:colOff>251460</xdr:colOff>
      <xdr:row>18</xdr:row>
      <xdr:rowOff>92820</xdr:rowOff>
    </xdr:to>
    <xdr:cxnSp macro="">
      <xdr:nvCxnSpPr>
        <xdr:cNvPr id="7" name="Straight Connector 6">
          <a:extLst>
            <a:ext uri="{FF2B5EF4-FFF2-40B4-BE49-F238E27FC236}">
              <a16:creationId xmlns:a16="http://schemas.microsoft.com/office/drawing/2014/main" id="{D33A9598-7C0A-49D4-8340-15F815A6731B}"/>
            </a:ext>
          </a:extLst>
        </xdr:cNvPr>
        <xdr:cNvCxnSpPr/>
      </xdr:nvCxnSpPr>
      <xdr:spPr>
        <a:xfrm>
          <a:off x="5128260" y="2232660"/>
          <a:ext cx="0" cy="1152000"/>
        </a:xfrm>
        <a:prstGeom prst="line">
          <a:avLst/>
        </a:prstGeom>
        <a:ln>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381000</xdr:colOff>
      <xdr:row>21</xdr:row>
      <xdr:rowOff>167640</xdr:rowOff>
    </xdr:from>
    <xdr:to>
      <xdr:col>11</xdr:col>
      <xdr:colOff>366600</xdr:colOff>
      <xdr:row>32</xdr:row>
      <xdr:rowOff>91440</xdr:rowOff>
    </xdr:to>
    <xdr:sp macro="" textlink="">
      <xdr:nvSpPr>
        <xdr:cNvPr id="12" name="Rectangle 11">
          <a:extLst>
            <a:ext uri="{FF2B5EF4-FFF2-40B4-BE49-F238E27FC236}">
              <a16:creationId xmlns:a16="http://schemas.microsoft.com/office/drawing/2014/main" id="{310F730F-3F6E-9363-4646-EDE8C56743E6}"/>
            </a:ext>
          </a:extLst>
        </xdr:cNvPr>
        <xdr:cNvSpPr/>
      </xdr:nvSpPr>
      <xdr:spPr>
        <a:xfrm>
          <a:off x="1600200" y="4008120"/>
          <a:ext cx="5472000" cy="19354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E" sz="1100" baseline="0"/>
            <a:t>  </a:t>
          </a:r>
          <a:r>
            <a:rPr lang="en-AE" sz="1800" b="1" baseline="0">
              <a:latin typeface="Times New Roman" panose="02020603050405020304" pitchFamily="18" charset="0"/>
              <a:cs typeface="Times New Roman" panose="02020603050405020304" pitchFamily="18" charset="0"/>
            </a:rPr>
            <a:t>Recommendations</a:t>
          </a:r>
        </a:p>
        <a:p>
          <a:pPr algn="l"/>
          <a:endParaRPr lang="en-AE" sz="1100" baseline="0"/>
        </a:p>
        <a:p>
          <a:pPr algn="l"/>
          <a:r>
            <a:rPr lang="en-AE" sz="1100" baseline="0"/>
            <a:t> </a:t>
          </a:r>
          <a:r>
            <a:rPr lang="en-AE" sz="1200" baseline="0">
              <a:latin typeface="Times New Roman" panose="02020603050405020304" pitchFamily="18" charset="0"/>
              <a:cs typeface="Times New Roman" panose="02020603050405020304" pitchFamily="18" charset="0"/>
            </a:rPr>
            <a:t>1. Promote high-performing products such as burgers.</a:t>
          </a:r>
        </a:p>
        <a:p>
          <a:pPr algn="l"/>
          <a:r>
            <a:rPr lang="en-AE" sz="1200" baseline="0">
              <a:latin typeface="Times New Roman" panose="02020603050405020304" pitchFamily="18" charset="0"/>
              <a:cs typeface="Times New Roman" panose="02020603050405020304" pitchFamily="18" charset="0"/>
            </a:rPr>
            <a:t> 2. introduce combo offers with Beverages.</a:t>
          </a:r>
        </a:p>
        <a:p>
          <a:pPr algn="l"/>
          <a:r>
            <a:rPr lang="en-AE" sz="1200" baseline="0">
              <a:latin typeface="Times New Roman" panose="02020603050405020304" pitchFamily="18" charset="0"/>
              <a:cs typeface="Times New Roman" panose="02020603050405020304" pitchFamily="18" charset="0"/>
            </a:rPr>
            <a:t> 3. Strengthen marketing efforts in Lisbon.</a:t>
          </a:r>
        </a:p>
        <a:p>
          <a:pPr algn="l"/>
          <a:r>
            <a:rPr lang="en-AE" sz="1200" baseline="0">
              <a:latin typeface="Times New Roman" panose="02020603050405020304" pitchFamily="18" charset="0"/>
              <a:cs typeface="Times New Roman" panose="02020603050405020304" pitchFamily="18" charset="0"/>
            </a:rPr>
            <a:t> 4. Share successful strategies from top manager joao Silva.</a:t>
          </a:r>
        </a:p>
        <a:p>
          <a:pPr algn="l"/>
          <a:r>
            <a:rPr lang="en-AE" sz="1200" baseline="0">
              <a:latin typeface="Times New Roman" panose="02020603050405020304" pitchFamily="18" charset="0"/>
              <a:cs typeface="Times New Roman" panose="02020603050405020304" pitchFamily="18" charset="0"/>
            </a:rPr>
            <a:t> 5. Run targeted promotion during low-sales periods.</a:t>
          </a:r>
        </a:p>
        <a:p>
          <a:pPr algn="l"/>
          <a:r>
            <a:rPr lang="en-AE" sz="1200" baseline="0">
              <a:latin typeface="Times New Roman" panose="02020603050405020304" pitchFamily="18" charset="0"/>
              <a:cs typeface="Times New Roman" panose="02020603050405020304" pitchFamily="18" charset="0"/>
            </a:rPr>
            <a:t> 6.Optimize sales channels by analyzing online and in-store performance.</a:t>
          </a:r>
          <a:endParaRPr lang="en-AE" sz="1200">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dhi adhil" refreshedDate="46277.540383101848" createdVersion="8" refreshedVersion="8" minRefreshableVersion="3" recordCount="254" xr:uid="{35347709-0404-453A-A3D0-C21DAAFDA124}">
  <cacheSource type="worksheet">
    <worksheetSource ref="A1:K255" sheet="Cleaned Data"/>
  </cacheSource>
  <cacheFields count="12">
    <cacheField name="Order ID" numFmtId="0">
      <sharedItems containsSemiMixedTypes="0" containsString="0" containsNumber="1" containsInteger="1" minValue="10452" maxValue="10713"/>
    </cacheField>
    <cacheField name="Date" numFmtId="14">
      <sharedItems containsSemiMixedTypes="0" containsNonDate="0" containsDate="1" containsString="0" minDate="2022-11-07T00:00:00" maxDate="2022-12-30T00:00:00" count="53">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sharedItems>
      <fieldGroup par="11"/>
    </cacheField>
    <cacheField name="Month" numFmtId="14">
      <sharedItems count="2">
        <s v="Nov"/>
        <s v="Dec"/>
      </sharedItems>
    </cacheField>
    <cacheField name="Product" numFmtId="0">
      <sharedItems count="5">
        <s v="Fries"/>
        <s v="Beverages"/>
        <s v="Sides &amp; Other"/>
        <s v="Burgers"/>
        <s v="Chicken Sandwiches"/>
      </sharedItems>
    </cacheField>
    <cacheField name="Price" numFmtId="165">
      <sharedItems containsSemiMixedTypes="0" containsString="0" containsNumber="1" minValue="2.95" maxValue="29.05"/>
    </cacheField>
    <cacheField name="Quantity" numFmtId="1">
      <sharedItems containsSemiMixedTypes="0" containsString="0" containsNumber="1" minValue="200.4" maxValue="754.43"/>
    </cacheField>
    <cacheField name="Total Sale" numFmtId="164">
      <sharedItems containsSemiMixedTypes="0" containsString="0" containsNumber="1" minValue="999.99600000000009" maxValue="16074.434999999999" count="31">
        <n v="2000.0143000000003"/>
        <n v="2199.9920000000002"/>
        <n v="999.99600000000009"/>
        <n v="7400.0132999999996"/>
        <n v="2000.0494999999999"/>
        <n v="7199.9673000000003"/>
        <n v="2000.0115000000003"/>
        <n v="2199.9913000000001"/>
        <n v="6800.0052000000005"/>
        <n v="6599.9592000000002"/>
        <n v="16074.434999999999"/>
        <n v="5839.3405000000002"/>
        <n v="7000.0511999999999"/>
        <n v="2400.0032000000001"/>
        <n v="6199.9971000000005"/>
        <n v="6400.0430999999999"/>
        <n v="5999.9511000000002"/>
        <n v="5800.0349999999999"/>
        <n v="7600.0593000000008"/>
        <n v="2200.0445"/>
        <n v="7799.9754000000003"/>
        <n v="8199.9375"/>
        <n v="8399.9835000000003"/>
        <n v="8799.9456000000009"/>
        <n v="2400.0394999999999"/>
        <n v="2600.0344999999998"/>
        <n v="8999.9916000000012"/>
        <n v="2800.0295000000001"/>
        <n v="9399.9537"/>
        <n v="3000.0244999999995"/>
        <n v="9800.0456999999988"/>
      </sharedItems>
    </cacheField>
    <cacheField name="Purchase Type" numFmtId="0">
      <sharedItems count="3">
        <s v="Online "/>
        <s v="In-store "/>
        <s v="Drive-thru "/>
      </sharedItems>
    </cacheField>
    <cacheField name="Payment Method" numFmtId="0">
      <sharedItems count="3">
        <s v=" Gift Card"/>
        <s v=" Credit Card"/>
        <s v=" Cash"/>
      </sharedItems>
    </cacheField>
    <cacheField name="Manager" numFmtId="0">
      <sharedItems count="5">
        <s v="Tom Jackson"/>
        <s v="Pablo Perez"/>
        <s v="Joao Silva"/>
        <s v="Walter Muller"/>
        <s v="Remy Monet"/>
      </sharedItems>
    </cacheField>
    <cacheField name="City" numFmtId="0">
      <sharedItems count="5">
        <s v="London"/>
        <s v="Madrid"/>
        <s v="Lisbon"/>
        <s v="Berlin"/>
        <s v="Paris"/>
      </sharedItems>
    </cacheField>
    <cacheField name="Days (Date)" numFmtId="0" databaseField="0">
      <fieldGroup base="1">
        <rangePr groupBy="days" startDate="2022-11-07T00:00:00" endDate="2022-12-30T00:00:00"/>
        <groupItems count="368">
          <s v="&lt;07/1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12/2022"/>
        </groupItems>
      </fieldGroup>
    </cacheField>
  </cacheFields>
  <extLst>
    <ext xmlns:x14="http://schemas.microsoft.com/office/spreadsheetml/2009/9/main" uri="{725AE2AE-9491-48be-B2B4-4EB974FC3084}">
      <x14:pivotCacheDefinition pivotCacheId="10591075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4">
  <r>
    <n v="10452"/>
    <x v="0"/>
    <x v="0"/>
    <x v="0"/>
    <n v="3.49"/>
    <n v="573.07000000000005"/>
    <x v="0"/>
    <x v="0"/>
    <x v="0"/>
    <x v="0"/>
    <x v="0"/>
  </r>
  <r>
    <n v="10453"/>
    <x v="0"/>
    <x v="0"/>
    <x v="1"/>
    <n v="2.95"/>
    <n v="745.76"/>
    <x v="1"/>
    <x v="0"/>
    <x v="0"/>
    <x v="1"/>
    <x v="1"/>
  </r>
  <r>
    <n v="10454"/>
    <x v="0"/>
    <x v="0"/>
    <x v="2"/>
    <n v="4.99"/>
    <n v="200.4"/>
    <x v="2"/>
    <x v="1"/>
    <x v="0"/>
    <x v="2"/>
    <x v="2"/>
  </r>
  <r>
    <n v="10455"/>
    <x v="1"/>
    <x v="0"/>
    <x v="3"/>
    <n v="12.99"/>
    <n v="569.66999999999996"/>
    <x v="3"/>
    <x v="1"/>
    <x v="1"/>
    <x v="3"/>
    <x v="3"/>
  </r>
  <r>
    <n v="10456"/>
    <x v="1"/>
    <x v="0"/>
    <x v="4"/>
    <n v="9.9499999999999993"/>
    <n v="201.01"/>
    <x v="4"/>
    <x v="1"/>
    <x v="1"/>
    <x v="3"/>
    <x v="3"/>
  </r>
  <r>
    <n v="10457"/>
    <x v="1"/>
    <x v="0"/>
    <x v="0"/>
    <n v="3.49"/>
    <n v="573.07000000000005"/>
    <x v="0"/>
    <x v="1"/>
    <x v="1"/>
    <x v="4"/>
    <x v="4"/>
  </r>
  <r>
    <n v="10459"/>
    <x v="1"/>
    <x v="0"/>
    <x v="2"/>
    <n v="4.99"/>
    <n v="200.4"/>
    <x v="2"/>
    <x v="1"/>
    <x v="1"/>
    <x v="3"/>
    <x v="3"/>
  </r>
  <r>
    <n v="10460"/>
    <x v="2"/>
    <x v="0"/>
    <x v="3"/>
    <n v="12.99"/>
    <n v="554.27"/>
    <x v="5"/>
    <x v="1"/>
    <x v="1"/>
    <x v="4"/>
    <x v="4"/>
  </r>
  <r>
    <n v="10461"/>
    <x v="2"/>
    <x v="0"/>
    <x v="4"/>
    <n v="9.9499999999999993"/>
    <n v="201.01"/>
    <x v="4"/>
    <x v="1"/>
    <x v="1"/>
    <x v="4"/>
    <x v="4"/>
  </r>
  <r>
    <n v="10462"/>
    <x v="2"/>
    <x v="0"/>
    <x v="0"/>
    <n v="3.49"/>
    <n v="573.07000000000005"/>
    <x v="0"/>
    <x v="1"/>
    <x v="1"/>
    <x v="4"/>
    <x v="4"/>
  </r>
  <r>
    <n v="10463"/>
    <x v="2"/>
    <x v="0"/>
    <x v="1"/>
    <n v="2.95"/>
    <n v="677.97"/>
    <x v="6"/>
    <x v="1"/>
    <x v="1"/>
    <x v="4"/>
    <x v="4"/>
  </r>
  <r>
    <n v="10464"/>
    <x v="2"/>
    <x v="0"/>
    <x v="2"/>
    <n v="4.99"/>
    <n v="200.4"/>
    <x v="2"/>
    <x v="1"/>
    <x v="1"/>
    <x v="4"/>
    <x v="4"/>
  </r>
  <r>
    <n v="10465"/>
    <x v="3"/>
    <x v="0"/>
    <x v="3"/>
    <n v="12.99"/>
    <n v="554.27"/>
    <x v="5"/>
    <x v="1"/>
    <x v="1"/>
    <x v="1"/>
    <x v="1"/>
  </r>
  <r>
    <n v="10466"/>
    <x v="3"/>
    <x v="0"/>
    <x v="4"/>
    <n v="9.9499999999999993"/>
    <n v="201.01"/>
    <x v="4"/>
    <x v="1"/>
    <x v="1"/>
    <x v="1"/>
    <x v="1"/>
  </r>
  <r>
    <n v="10467"/>
    <x v="3"/>
    <x v="0"/>
    <x v="0"/>
    <n v="3.49"/>
    <n v="573.07000000000005"/>
    <x v="0"/>
    <x v="1"/>
    <x v="1"/>
    <x v="1"/>
    <x v="1"/>
  </r>
  <r>
    <n v="10468"/>
    <x v="3"/>
    <x v="0"/>
    <x v="1"/>
    <n v="2.95"/>
    <n v="677.97"/>
    <x v="6"/>
    <x v="1"/>
    <x v="1"/>
    <x v="1"/>
    <x v="1"/>
  </r>
  <r>
    <n v="10470"/>
    <x v="4"/>
    <x v="0"/>
    <x v="3"/>
    <n v="12.99"/>
    <n v="554.27"/>
    <x v="5"/>
    <x v="1"/>
    <x v="1"/>
    <x v="1"/>
    <x v="1"/>
  </r>
  <r>
    <n v="10471"/>
    <x v="4"/>
    <x v="0"/>
    <x v="4"/>
    <n v="9.9499999999999993"/>
    <n v="201.01"/>
    <x v="4"/>
    <x v="1"/>
    <x v="1"/>
    <x v="1"/>
    <x v="1"/>
  </r>
  <r>
    <n v="10472"/>
    <x v="4"/>
    <x v="0"/>
    <x v="0"/>
    <n v="3.49"/>
    <n v="630.37"/>
    <x v="7"/>
    <x v="1"/>
    <x v="1"/>
    <x v="1"/>
    <x v="1"/>
  </r>
  <r>
    <n v="10473"/>
    <x v="4"/>
    <x v="0"/>
    <x v="1"/>
    <n v="2.95"/>
    <n v="677.97"/>
    <x v="6"/>
    <x v="1"/>
    <x v="1"/>
    <x v="1"/>
    <x v="1"/>
  </r>
  <r>
    <n v="10474"/>
    <x v="4"/>
    <x v="0"/>
    <x v="2"/>
    <n v="4.99"/>
    <n v="200.4"/>
    <x v="2"/>
    <x v="1"/>
    <x v="1"/>
    <x v="1"/>
    <x v="1"/>
  </r>
  <r>
    <n v="10475"/>
    <x v="5"/>
    <x v="0"/>
    <x v="3"/>
    <n v="12.99"/>
    <n v="523.48"/>
    <x v="8"/>
    <x v="1"/>
    <x v="1"/>
    <x v="1"/>
    <x v="1"/>
  </r>
  <r>
    <n v="10476"/>
    <x v="5"/>
    <x v="0"/>
    <x v="4"/>
    <n v="9.9499999999999993"/>
    <n v="201.01"/>
    <x v="4"/>
    <x v="1"/>
    <x v="1"/>
    <x v="1"/>
    <x v="1"/>
  </r>
  <r>
    <n v="10477"/>
    <x v="5"/>
    <x v="0"/>
    <x v="0"/>
    <n v="3.49"/>
    <n v="630.37"/>
    <x v="7"/>
    <x v="1"/>
    <x v="1"/>
    <x v="1"/>
    <x v="1"/>
  </r>
  <r>
    <n v="10478"/>
    <x v="5"/>
    <x v="0"/>
    <x v="1"/>
    <n v="2.95"/>
    <n v="677.97"/>
    <x v="6"/>
    <x v="1"/>
    <x v="1"/>
    <x v="1"/>
    <x v="1"/>
  </r>
  <r>
    <n v="10479"/>
    <x v="5"/>
    <x v="0"/>
    <x v="2"/>
    <n v="4.99"/>
    <n v="200.4"/>
    <x v="2"/>
    <x v="1"/>
    <x v="1"/>
    <x v="1"/>
    <x v="1"/>
  </r>
  <r>
    <n v="10480"/>
    <x v="6"/>
    <x v="0"/>
    <x v="3"/>
    <n v="12.99"/>
    <n v="508.08"/>
    <x v="9"/>
    <x v="1"/>
    <x v="1"/>
    <x v="1"/>
    <x v="1"/>
  </r>
  <r>
    <n v="10481"/>
    <x v="6"/>
    <x v="0"/>
    <x v="4"/>
    <n v="9.9499999999999993"/>
    <n v="201.01"/>
    <x v="4"/>
    <x v="1"/>
    <x v="1"/>
    <x v="1"/>
    <x v="1"/>
  </r>
  <r>
    <n v="10482"/>
    <x v="6"/>
    <x v="0"/>
    <x v="0"/>
    <n v="25.5"/>
    <n v="630.37"/>
    <x v="10"/>
    <x v="1"/>
    <x v="1"/>
    <x v="2"/>
    <x v="2"/>
  </r>
  <r>
    <n v="10486"/>
    <x v="7"/>
    <x v="0"/>
    <x v="4"/>
    <n v="29.05"/>
    <n v="201.01"/>
    <x v="11"/>
    <x v="1"/>
    <x v="1"/>
    <x v="2"/>
    <x v="2"/>
  </r>
  <r>
    <n v="10487"/>
    <x v="7"/>
    <x v="0"/>
    <x v="0"/>
    <n v="3.49"/>
    <n v="630.37"/>
    <x v="7"/>
    <x v="1"/>
    <x v="1"/>
    <x v="2"/>
    <x v="2"/>
  </r>
  <r>
    <n v="10488"/>
    <x v="7"/>
    <x v="0"/>
    <x v="1"/>
    <n v="2.95"/>
    <n v="677.97"/>
    <x v="6"/>
    <x v="1"/>
    <x v="1"/>
    <x v="2"/>
    <x v="2"/>
  </r>
  <r>
    <n v="10489"/>
    <x v="7"/>
    <x v="0"/>
    <x v="2"/>
    <n v="4.99"/>
    <n v="200.4"/>
    <x v="2"/>
    <x v="1"/>
    <x v="1"/>
    <x v="1"/>
    <x v="1"/>
  </r>
  <r>
    <n v="10490"/>
    <x v="8"/>
    <x v="0"/>
    <x v="3"/>
    <n v="12.99"/>
    <n v="508.08"/>
    <x v="9"/>
    <x v="1"/>
    <x v="1"/>
    <x v="1"/>
    <x v="1"/>
  </r>
  <r>
    <n v="10491"/>
    <x v="8"/>
    <x v="0"/>
    <x v="4"/>
    <n v="9.9499999999999993"/>
    <n v="201.01"/>
    <x v="4"/>
    <x v="1"/>
    <x v="1"/>
    <x v="1"/>
    <x v="1"/>
  </r>
  <r>
    <n v="10492"/>
    <x v="8"/>
    <x v="0"/>
    <x v="0"/>
    <n v="3.49"/>
    <n v="573.07000000000005"/>
    <x v="0"/>
    <x v="1"/>
    <x v="1"/>
    <x v="1"/>
    <x v="1"/>
  </r>
  <r>
    <n v="10493"/>
    <x v="8"/>
    <x v="0"/>
    <x v="1"/>
    <n v="2.95"/>
    <n v="677.97"/>
    <x v="6"/>
    <x v="1"/>
    <x v="1"/>
    <x v="1"/>
    <x v="1"/>
  </r>
  <r>
    <n v="10494"/>
    <x v="8"/>
    <x v="0"/>
    <x v="2"/>
    <n v="4.99"/>
    <n v="200.4"/>
    <x v="2"/>
    <x v="1"/>
    <x v="1"/>
    <x v="1"/>
    <x v="1"/>
  </r>
  <r>
    <n v="10495"/>
    <x v="9"/>
    <x v="0"/>
    <x v="3"/>
    <n v="12.99"/>
    <n v="508.08"/>
    <x v="9"/>
    <x v="1"/>
    <x v="1"/>
    <x v="1"/>
    <x v="1"/>
  </r>
  <r>
    <n v="10496"/>
    <x v="9"/>
    <x v="0"/>
    <x v="4"/>
    <n v="9.9499999999999993"/>
    <n v="201.01"/>
    <x v="4"/>
    <x v="1"/>
    <x v="1"/>
    <x v="1"/>
    <x v="1"/>
  </r>
  <r>
    <n v="10497"/>
    <x v="9"/>
    <x v="0"/>
    <x v="0"/>
    <n v="3.49"/>
    <n v="573.07000000000005"/>
    <x v="0"/>
    <x v="1"/>
    <x v="1"/>
    <x v="1"/>
    <x v="1"/>
  </r>
  <r>
    <n v="10498"/>
    <x v="9"/>
    <x v="0"/>
    <x v="1"/>
    <n v="2.95"/>
    <n v="677.97"/>
    <x v="6"/>
    <x v="2"/>
    <x v="1"/>
    <x v="1"/>
    <x v="1"/>
  </r>
  <r>
    <n v="10499"/>
    <x v="9"/>
    <x v="0"/>
    <x v="2"/>
    <n v="4.99"/>
    <n v="200.4"/>
    <x v="2"/>
    <x v="2"/>
    <x v="1"/>
    <x v="1"/>
    <x v="1"/>
  </r>
  <r>
    <n v="10500"/>
    <x v="10"/>
    <x v="0"/>
    <x v="3"/>
    <n v="12.99"/>
    <n v="523.48"/>
    <x v="8"/>
    <x v="2"/>
    <x v="1"/>
    <x v="1"/>
    <x v="1"/>
  </r>
  <r>
    <n v="10501"/>
    <x v="10"/>
    <x v="0"/>
    <x v="4"/>
    <n v="9.9499999999999993"/>
    <n v="201.01"/>
    <x v="4"/>
    <x v="2"/>
    <x v="1"/>
    <x v="1"/>
    <x v="1"/>
  </r>
  <r>
    <n v="10502"/>
    <x v="10"/>
    <x v="0"/>
    <x v="0"/>
    <n v="3.49"/>
    <n v="630.37"/>
    <x v="7"/>
    <x v="2"/>
    <x v="1"/>
    <x v="1"/>
    <x v="1"/>
  </r>
  <r>
    <n v="10503"/>
    <x v="10"/>
    <x v="0"/>
    <x v="1"/>
    <n v="2.95"/>
    <n v="677.97"/>
    <x v="6"/>
    <x v="2"/>
    <x v="1"/>
    <x v="1"/>
    <x v="1"/>
  </r>
  <r>
    <n v="10504"/>
    <x v="10"/>
    <x v="0"/>
    <x v="2"/>
    <n v="4.99"/>
    <n v="200.4"/>
    <x v="2"/>
    <x v="2"/>
    <x v="1"/>
    <x v="1"/>
    <x v="1"/>
  </r>
  <r>
    <n v="10505"/>
    <x v="11"/>
    <x v="0"/>
    <x v="3"/>
    <n v="12.99"/>
    <n v="538.88"/>
    <x v="12"/>
    <x v="2"/>
    <x v="1"/>
    <x v="1"/>
    <x v="1"/>
  </r>
  <r>
    <n v="10506"/>
    <x v="11"/>
    <x v="0"/>
    <x v="4"/>
    <n v="9.9499999999999993"/>
    <n v="201.01"/>
    <x v="4"/>
    <x v="2"/>
    <x v="1"/>
    <x v="1"/>
    <x v="1"/>
  </r>
  <r>
    <n v="10507"/>
    <x v="11"/>
    <x v="0"/>
    <x v="0"/>
    <n v="3.49"/>
    <n v="687.68"/>
    <x v="13"/>
    <x v="2"/>
    <x v="1"/>
    <x v="1"/>
    <x v="1"/>
  </r>
  <r>
    <n v="10508"/>
    <x v="11"/>
    <x v="0"/>
    <x v="1"/>
    <n v="2.95"/>
    <n v="677.97"/>
    <x v="6"/>
    <x v="2"/>
    <x v="1"/>
    <x v="1"/>
    <x v="1"/>
  </r>
  <r>
    <n v="10509"/>
    <x v="11"/>
    <x v="0"/>
    <x v="2"/>
    <n v="4.99"/>
    <n v="200.4"/>
    <x v="2"/>
    <x v="2"/>
    <x v="1"/>
    <x v="1"/>
    <x v="1"/>
  </r>
  <r>
    <n v="10510"/>
    <x v="12"/>
    <x v="0"/>
    <x v="3"/>
    <n v="12.99"/>
    <n v="508.08"/>
    <x v="9"/>
    <x v="2"/>
    <x v="1"/>
    <x v="1"/>
    <x v="1"/>
  </r>
  <r>
    <n v="10511"/>
    <x v="12"/>
    <x v="0"/>
    <x v="4"/>
    <n v="9.9499999999999993"/>
    <n v="201.01"/>
    <x v="4"/>
    <x v="2"/>
    <x v="1"/>
    <x v="2"/>
    <x v="2"/>
  </r>
  <r>
    <n v="10512"/>
    <x v="12"/>
    <x v="0"/>
    <x v="0"/>
    <n v="3.49"/>
    <n v="687.68"/>
    <x v="13"/>
    <x v="2"/>
    <x v="1"/>
    <x v="2"/>
    <x v="2"/>
  </r>
  <r>
    <n v="10513"/>
    <x v="12"/>
    <x v="0"/>
    <x v="1"/>
    <n v="2.95"/>
    <n v="677.97"/>
    <x v="6"/>
    <x v="2"/>
    <x v="2"/>
    <x v="2"/>
    <x v="2"/>
  </r>
  <r>
    <n v="10514"/>
    <x v="12"/>
    <x v="0"/>
    <x v="2"/>
    <n v="4.99"/>
    <n v="200.4"/>
    <x v="2"/>
    <x v="2"/>
    <x v="2"/>
    <x v="2"/>
    <x v="2"/>
  </r>
  <r>
    <n v="10515"/>
    <x v="13"/>
    <x v="0"/>
    <x v="3"/>
    <n v="12.99"/>
    <n v="477.29"/>
    <x v="14"/>
    <x v="2"/>
    <x v="2"/>
    <x v="2"/>
    <x v="2"/>
  </r>
  <r>
    <n v="10516"/>
    <x v="13"/>
    <x v="0"/>
    <x v="4"/>
    <n v="9.9499999999999993"/>
    <n v="201.01"/>
    <x v="4"/>
    <x v="2"/>
    <x v="2"/>
    <x v="2"/>
    <x v="2"/>
  </r>
  <r>
    <n v="10483"/>
    <x v="6"/>
    <x v="0"/>
    <x v="1"/>
    <n v="2.95"/>
    <n v="677.97"/>
    <x v="6"/>
    <x v="1"/>
    <x v="1"/>
    <x v="2"/>
    <x v="2"/>
  </r>
  <r>
    <n v="10484"/>
    <x v="6"/>
    <x v="0"/>
    <x v="2"/>
    <n v="4.99"/>
    <n v="200.4"/>
    <x v="2"/>
    <x v="1"/>
    <x v="1"/>
    <x v="2"/>
    <x v="2"/>
  </r>
  <r>
    <n v="10485"/>
    <x v="7"/>
    <x v="0"/>
    <x v="3"/>
    <n v="12.99"/>
    <n v="523.48"/>
    <x v="8"/>
    <x v="1"/>
    <x v="1"/>
    <x v="2"/>
    <x v="2"/>
  </r>
  <r>
    <n v="10520"/>
    <x v="14"/>
    <x v="0"/>
    <x v="3"/>
    <n v="12.99"/>
    <n v="492.69"/>
    <x v="15"/>
    <x v="2"/>
    <x v="2"/>
    <x v="4"/>
    <x v="4"/>
  </r>
  <r>
    <n v="10521"/>
    <x v="14"/>
    <x v="0"/>
    <x v="4"/>
    <n v="9.9499999999999993"/>
    <n v="201.01"/>
    <x v="4"/>
    <x v="2"/>
    <x v="2"/>
    <x v="4"/>
    <x v="4"/>
  </r>
  <r>
    <n v="10522"/>
    <x v="14"/>
    <x v="0"/>
    <x v="0"/>
    <n v="3.49"/>
    <n v="687.68"/>
    <x v="13"/>
    <x v="2"/>
    <x v="2"/>
    <x v="4"/>
    <x v="4"/>
  </r>
  <r>
    <n v="10523"/>
    <x v="14"/>
    <x v="0"/>
    <x v="1"/>
    <n v="2.95"/>
    <n v="745.76"/>
    <x v="1"/>
    <x v="2"/>
    <x v="2"/>
    <x v="4"/>
    <x v="4"/>
  </r>
  <r>
    <n v="10524"/>
    <x v="14"/>
    <x v="0"/>
    <x v="2"/>
    <n v="4.99"/>
    <n v="200.4"/>
    <x v="2"/>
    <x v="2"/>
    <x v="2"/>
    <x v="4"/>
    <x v="4"/>
  </r>
  <r>
    <n v="10525"/>
    <x v="15"/>
    <x v="0"/>
    <x v="3"/>
    <n v="12.99"/>
    <n v="461.89"/>
    <x v="16"/>
    <x v="2"/>
    <x v="2"/>
    <x v="4"/>
    <x v="4"/>
  </r>
  <r>
    <n v="10526"/>
    <x v="15"/>
    <x v="0"/>
    <x v="4"/>
    <n v="9.9499999999999993"/>
    <n v="201.01"/>
    <x v="4"/>
    <x v="2"/>
    <x v="2"/>
    <x v="4"/>
    <x v="4"/>
  </r>
  <r>
    <n v="10527"/>
    <x v="15"/>
    <x v="0"/>
    <x v="0"/>
    <n v="3.49"/>
    <n v="687.68"/>
    <x v="13"/>
    <x v="2"/>
    <x v="2"/>
    <x v="4"/>
    <x v="4"/>
  </r>
  <r>
    <n v="10528"/>
    <x v="15"/>
    <x v="0"/>
    <x v="1"/>
    <n v="2.95"/>
    <n v="745.76"/>
    <x v="1"/>
    <x v="2"/>
    <x v="2"/>
    <x v="4"/>
    <x v="4"/>
  </r>
  <r>
    <n v="10529"/>
    <x v="15"/>
    <x v="0"/>
    <x v="2"/>
    <n v="4.99"/>
    <n v="200.4"/>
    <x v="2"/>
    <x v="2"/>
    <x v="2"/>
    <x v="4"/>
    <x v="4"/>
  </r>
  <r>
    <n v="10530"/>
    <x v="16"/>
    <x v="0"/>
    <x v="3"/>
    <n v="12.99"/>
    <n v="477.29"/>
    <x v="14"/>
    <x v="2"/>
    <x v="2"/>
    <x v="4"/>
    <x v="4"/>
  </r>
  <r>
    <n v="10531"/>
    <x v="16"/>
    <x v="0"/>
    <x v="4"/>
    <n v="9.9499999999999993"/>
    <n v="201.01"/>
    <x v="4"/>
    <x v="2"/>
    <x v="2"/>
    <x v="4"/>
    <x v="4"/>
  </r>
  <r>
    <n v="10532"/>
    <x v="16"/>
    <x v="0"/>
    <x v="0"/>
    <n v="3.49"/>
    <n v="687.68"/>
    <x v="13"/>
    <x v="2"/>
    <x v="2"/>
    <x v="2"/>
    <x v="2"/>
  </r>
  <r>
    <n v="10533"/>
    <x v="16"/>
    <x v="0"/>
    <x v="1"/>
    <n v="2.95"/>
    <n v="745.76"/>
    <x v="1"/>
    <x v="2"/>
    <x v="2"/>
    <x v="2"/>
    <x v="2"/>
  </r>
  <r>
    <n v="10534"/>
    <x v="16"/>
    <x v="0"/>
    <x v="2"/>
    <n v="4.99"/>
    <n v="200.4"/>
    <x v="2"/>
    <x v="2"/>
    <x v="2"/>
    <x v="1"/>
    <x v="1"/>
  </r>
  <r>
    <n v="10535"/>
    <x v="17"/>
    <x v="0"/>
    <x v="3"/>
    <n v="12.99"/>
    <n v="477.29"/>
    <x v="14"/>
    <x v="2"/>
    <x v="1"/>
    <x v="1"/>
    <x v="1"/>
  </r>
  <r>
    <n v="10536"/>
    <x v="17"/>
    <x v="0"/>
    <x v="4"/>
    <n v="9.9499999999999993"/>
    <n v="201.01"/>
    <x v="4"/>
    <x v="2"/>
    <x v="1"/>
    <x v="1"/>
    <x v="1"/>
  </r>
  <r>
    <n v="10540"/>
    <x v="18"/>
    <x v="0"/>
    <x v="3"/>
    <n v="12.99"/>
    <n v="461.89"/>
    <x v="16"/>
    <x v="2"/>
    <x v="1"/>
    <x v="1"/>
    <x v="1"/>
  </r>
  <r>
    <n v="10541"/>
    <x v="18"/>
    <x v="0"/>
    <x v="4"/>
    <n v="9.9499999999999993"/>
    <n v="201.01"/>
    <x v="4"/>
    <x v="2"/>
    <x v="1"/>
    <x v="0"/>
    <x v="0"/>
  </r>
  <r>
    <n v="10542"/>
    <x v="18"/>
    <x v="0"/>
    <x v="0"/>
    <n v="3.49"/>
    <n v="630.37"/>
    <x v="7"/>
    <x v="2"/>
    <x v="1"/>
    <x v="0"/>
    <x v="0"/>
  </r>
  <r>
    <n v="10543"/>
    <x v="18"/>
    <x v="0"/>
    <x v="1"/>
    <n v="2.95"/>
    <n v="745.76"/>
    <x v="1"/>
    <x v="2"/>
    <x v="1"/>
    <x v="0"/>
    <x v="0"/>
  </r>
  <r>
    <n v="10544"/>
    <x v="18"/>
    <x v="0"/>
    <x v="2"/>
    <n v="4.99"/>
    <n v="200.4"/>
    <x v="2"/>
    <x v="2"/>
    <x v="1"/>
    <x v="0"/>
    <x v="0"/>
  </r>
  <r>
    <n v="10545"/>
    <x v="19"/>
    <x v="0"/>
    <x v="3"/>
    <n v="12.99"/>
    <n v="446.5"/>
    <x v="17"/>
    <x v="2"/>
    <x v="1"/>
    <x v="0"/>
    <x v="0"/>
  </r>
  <r>
    <n v="10546"/>
    <x v="19"/>
    <x v="0"/>
    <x v="4"/>
    <n v="9.9499999999999993"/>
    <n v="201.01"/>
    <x v="4"/>
    <x v="2"/>
    <x v="1"/>
    <x v="0"/>
    <x v="0"/>
  </r>
  <r>
    <n v="10547"/>
    <x v="19"/>
    <x v="0"/>
    <x v="0"/>
    <n v="3.49"/>
    <n v="630.37"/>
    <x v="7"/>
    <x v="2"/>
    <x v="1"/>
    <x v="0"/>
    <x v="0"/>
  </r>
  <r>
    <n v="10548"/>
    <x v="19"/>
    <x v="0"/>
    <x v="1"/>
    <n v="2.95"/>
    <n v="745.76"/>
    <x v="1"/>
    <x v="2"/>
    <x v="1"/>
    <x v="0"/>
    <x v="0"/>
  </r>
  <r>
    <n v="10549"/>
    <x v="19"/>
    <x v="0"/>
    <x v="2"/>
    <n v="4.99"/>
    <n v="200.4"/>
    <x v="2"/>
    <x v="2"/>
    <x v="1"/>
    <x v="0"/>
    <x v="0"/>
  </r>
  <r>
    <n v="10550"/>
    <x v="20"/>
    <x v="0"/>
    <x v="3"/>
    <n v="12.99"/>
    <n v="461.89"/>
    <x v="16"/>
    <x v="2"/>
    <x v="1"/>
    <x v="0"/>
    <x v="0"/>
  </r>
  <r>
    <n v="10551"/>
    <x v="20"/>
    <x v="0"/>
    <x v="4"/>
    <n v="9.9499999999999993"/>
    <n v="201.01"/>
    <x v="4"/>
    <x v="2"/>
    <x v="1"/>
    <x v="0"/>
    <x v="0"/>
  </r>
  <r>
    <n v="10552"/>
    <x v="20"/>
    <x v="0"/>
    <x v="0"/>
    <n v="3.49"/>
    <n v="630.37"/>
    <x v="7"/>
    <x v="0"/>
    <x v="1"/>
    <x v="0"/>
    <x v="0"/>
  </r>
  <r>
    <n v="10553"/>
    <x v="20"/>
    <x v="0"/>
    <x v="1"/>
    <n v="2.95"/>
    <n v="745.76"/>
    <x v="1"/>
    <x v="0"/>
    <x v="1"/>
    <x v="0"/>
    <x v="0"/>
  </r>
  <r>
    <n v="10554"/>
    <x v="20"/>
    <x v="0"/>
    <x v="2"/>
    <n v="4.99"/>
    <n v="200.4"/>
    <x v="2"/>
    <x v="0"/>
    <x v="1"/>
    <x v="0"/>
    <x v="0"/>
  </r>
  <r>
    <n v="10555"/>
    <x v="21"/>
    <x v="0"/>
    <x v="3"/>
    <n v="12.99"/>
    <n v="477.29"/>
    <x v="14"/>
    <x v="0"/>
    <x v="1"/>
    <x v="0"/>
    <x v="0"/>
  </r>
  <r>
    <n v="10556"/>
    <x v="21"/>
    <x v="0"/>
    <x v="4"/>
    <n v="9.9499999999999993"/>
    <n v="201.01"/>
    <x v="4"/>
    <x v="0"/>
    <x v="1"/>
    <x v="0"/>
    <x v="0"/>
  </r>
  <r>
    <n v="10557"/>
    <x v="21"/>
    <x v="0"/>
    <x v="0"/>
    <n v="3.49"/>
    <n v="630.37"/>
    <x v="7"/>
    <x v="0"/>
    <x v="1"/>
    <x v="0"/>
    <x v="0"/>
  </r>
  <r>
    <n v="10558"/>
    <x v="21"/>
    <x v="0"/>
    <x v="1"/>
    <n v="2.95"/>
    <n v="677.97"/>
    <x v="6"/>
    <x v="0"/>
    <x v="1"/>
    <x v="0"/>
    <x v="0"/>
  </r>
  <r>
    <n v="10559"/>
    <x v="21"/>
    <x v="0"/>
    <x v="2"/>
    <n v="4.99"/>
    <n v="200.4"/>
    <x v="2"/>
    <x v="0"/>
    <x v="1"/>
    <x v="0"/>
    <x v="0"/>
  </r>
  <r>
    <n v="10560"/>
    <x v="22"/>
    <x v="0"/>
    <x v="3"/>
    <n v="12.99"/>
    <n v="477.29"/>
    <x v="14"/>
    <x v="0"/>
    <x v="1"/>
    <x v="0"/>
    <x v="0"/>
  </r>
  <r>
    <n v="10561"/>
    <x v="22"/>
    <x v="0"/>
    <x v="4"/>
    <n v="9.9499999999999993"/>
    <n v="201.01"/>
    <x v="4"/>
    <x v="0"/>
    <x v="1"/>
    <x v="0"/>
    <x v="0"/>
  </r>
  <r>
    <n v="10562"/>
    <x v="22"/>
    <x v="0"/>
    <x v="0"/>
    <n v="3.49"/>
    <n v="630.37"/>
    <x v="7"/>
    <x v="0"/>
    <x v="1"/>
    <x v="0"/>
    <x v="0"/>
  </r>
  <r>
    <n v="10563"/>
    <x v="22"/>
    <x v="0"/>
    <x v="1"/>
    <n v="2.95"/>
    <n v="677.97"/>
    <x v="6"/>
    <x v="0"/>
    <x v="1"/>
    <x v="0"/>
    <x v="0"/>
  </r>
  <r>
    <n v="10564"/>
    <x v="22"/>
    <x v="0"/>
    <x v="2"/>
    <n v="4.99"/>
    <n v="200.4"/>
    <x v="2"/>
    <x v="0"/>
    <x v="1"/>
    <x v="0"/>
    <x v="0"/>
  </r>
  <r>
    <n v="10565"/>
    <x v="23"/>
    <x v="0"/>
    <x v="3"/>
    <n v="12.99"/>
    <n v="492.69"/>
    <x v="15"/>
    <x v="0"/>
    <x v="1"/>
    <x v="0"/>
    <x v="0"/>
  </r>
  <r>
    <n v="10566"/>
    <x v="23"/>
    <x v="0"/>
    <x v="4"/>
    <n v="9.9499999999999993"/>
    <n v="201.01"/>
    <x v="4"/>
    <x v="0"/>
    <x v="1"/>
    <x v="0"/>
    <x v="0"/>
  </r>
  <r>
    <n v="10567"/>
    <x v="23"/>
    <x v="0"/>
    <x v="0"/>
    <n v="3.49"/>
    <n v="630.37"/>
    <x v="7"/>
    <x v="0"/>
    <x v="1"/>
    <x v="0"/>
    <x v="0"/>
  </r>
  <r>
    <n v="10568"/>
    <x v="23"/>
    <x v="0"/>
    <x v="1"/>
    <n v="2.95"/>
    <n v="677.97"/>
    <x v="6"/>
    <x v="0"/>
    <x v="1"/>
    <x v="0"/>
    <x v="0"/>
  </r>
  <r>
    <n v="10569"/>
    <x v="23"/>
    <x v="0"/>
    <x v="2"/>
    <n v="4.99"/>
    <n v="200.4"/>
    <x v="2"/>
    <x v="0"/>
    <x v="1"/>
    <x v="0"/>
    <x v="0"/>
  </r>
  <r>
    <n v="10570"/>
    <x v="24"/>
    <x v="1"/>
    <x v="3"/>
    <n v="12.99"/>
    <n v="492.69"/>
    <x v="15"/>
    <x v="0"/>
    <x v="1"/>
    <x v="0"/>
    <x v="0"/>
  </r>
  <r>
    <n v="10571"/>
    <x v="24"/>
    <x v="1"/>
    <x v="4"/>
    <n v="9.9499999999999993"/>
    <n v="201.01"/>
    <x v="4"/>
    <x v="0"/>
    <x v="1"/>
    <x v="0"/>
    <x v="0"/>
  </r>
  <r>
    <n v="10572"/>
    <x v="24"/>
    <x v="1"/>
    <x v="0"/>
    <n v="3.49"/>
    <n v="573.07000000000005"/>
    <x v="0"/>
    <x v="0"/>
    <x v="1"/>
    <x v="4"/>
    <x v="4"/>
  </r>
  <r>
    <n v="10573"/>
    <x v="24"/>
    <x v="1"/>
    <x v="1"/>
    <n v="2.95"/>
    <n v="677.97"/>
    <x v="6"/>
    <x v="0"/>
    <x v="1"/>
    <x v="4"/>
    <x v="4"/>
  </r>
  <r>
    <n v="10574"/>
    <x v="24"/>
    <x v="1"/>
    <x v="2"/>
    <n v="4.99"/>
    <n v="200.4"/>
    <x v="2"/>
    <x v="0"/>
    <x v="1"/>
    <x v="4"/>
    <x v="4"/>
  </r>
  <r>
    <n v="10575"/>
    <x v="25"/>
    <x v="1"/>
    <x v="3"/>
    <n v="12.99"/>
    <n v="523.48"/>
    <x v="8"/>
    <x v="0"/>
    <x v="1"/>
    <x v="4"/>
    <x v="4"/>
  </r>
  <r>
    <n v="10576"/>
    <x v="25"/>
    <x v="1"/>
    <x v="4"/>
    <n v="9.9499999999999993"/>
    <n v="201.01"/>
    <x v="4"/>
    <x v="0"/>
    <x v="1"/>
    <x v="4"/>
    <x v="4"/>
  </r>
  <r>
    <n v="10577"/>
    <x v="25"/>
    <x v="1"/>
    <x v="0"/>
    <n v="3.49"/>
    <n v="630.37"/>
    <x v="7"/>
    <x v="0"/>
    <x v="1"/>
    <x v="4"/>
    <x v="4"/>
  </r>
  <r>
    <n v="10578"/>
    <x v="25"/>
    <x v="1"/>
    <x v="1"/>
    <n v="2.95"/>
    <n v="677.97"/>
    <x v="6"/>
    <x v="0"/>
    <x v="1"/>
    <x v="4"/>
    <x v="4"/>
  </r>
  <r>
    <n v="10579"/>
    <x v="25"/>
    <x v="1"/>
    <x v="2"/>
    <n v="4.99"/>
    <n v="200.4"/>
    <x v="2"/>
    <x v="0"/>
    <x v="1"/>
    <x v="4"/>
    <x v="4"/>
  </r>
  <r>
    <n v="10580"/>
    <x v="26"/>
    <x v="1"/>
    <x v="3"/>
    <n v="12.99"/>
    <n v="523.48"/>
    <x v="8"/>
    <x v="0"/>
    <x v="1"/>
    <x v="4"/>
    <x v="4"/>
  </r>
  <r>
    <n v="10581"/>
    <x v="26"/>
    <x v="1"/>
    <x v="4"/>
    <n v="9.9499999999999993"/>
    <n v="201.01"/>
    <x v="4"/>
    <x v="0"/>
    <x v="1"/>
    <x v="4"/>
    <x v="4"/>
  </r>
  <r>
    <n v="10582"/>
    <x v="26"/>
    <x v="1"/>
    <x v="0"/>
    <n v="3.49"/>
    <n v="630.37"/>
    <x v="7"/>
    <x v="0"/>
    <x v="1"/>
    <x v="0"/>
    <x v="0"/>
  </r>
  <r>
    <n v="10583"/>
    <x v="26"/>
    <x v="1"/>
    <x v="1"/>
    <n v="2.95"/>
    <n v="677.97"/>
    <x v="6"/>
    <x v="0"/>
    <x v="1"/>
    <x v="0"/>
    <x v="0"/>
  </r>
  <r>
    <n v="10584"/>
    <x v="26"/>
    <x v="1"/>
    <x v="2"/>
    <n v="4.99"/>
    <n v="200.4"/>
    <x v="2"/>
    <x v="0"/>
    <x v="1"/>
    <x v="0"/>
    <x v="0"/>
  </r>
  <r>
    <n v="10585"/>
    <x v="27"/>
    <x v="1"/>
    <x v="3"/>
    <n v="12.99"/>
    <n v="538.88"/>
    <x v="12"/>
    <x v="0"/>
    <x v="1"/>
    <x v="0"/>
    <x v="0"/>
  </r>
  <r>
    <n v="10586"/>
    <x v="27"/>
    <x v="1"/>
    <x v="4"/>
    <n v="9.9499999999999993"/>
    <n v="201.01"/>
    <x v="4"/>
    <x v="0"/>
    <x v="1"/>
    <x v="0"/>
    <x v="0"/>
  </r>
  <r>
    <n v="10537"/>
    <x v="17"/>
    <x v="0"/>
    <x v="0"/>
    <n v="3.49"/>
    <n v="630.37"/>
    <x v="7"/>
    <x v="2"/>
    <x v="1"/>
    <x v="1"/>
    <x v="1"/>
  </r>
  <r>
    <n v="10538"/>
    <x v="17"/>
    <x v="0"/>
    <x v="1"/>
    <n v="2.95"/>
    <n v="745.76"/>
    <x v="1"/>
    <x v="2"/>
    <x v="1"/>
    <x v="1"/>
    <x v="1"/>
  </r>
  <r>
    <n v="10539"/>
    <x v="17"/>
    <x v="0"/>
    <x v="2"/>
    <n v="4.99"/>
    <n v="200.4"/>
    <x v="2"/>
    <x v="2"/>
    <x v="1"/>
    <x v="1"/>
    <x v="1"/>
  </r>
  <r>
    <n v="10590"/>
    <x v="28"/>
    <x v="1"/>
    <x v="3"/>
    <n v="12.99"/>
    <n v="554.27"/>
    <x v="5"/>
    <x v="0"/>
    <x v="1"/>
    <x v="0"/>
    <x v="0"/>
  </r>
  <r>
    <n v="10591"/>
    <x v="28"/>
    <x v="1"/>
    <x v="4"/>
    <n v="9.9499999999999993"/>
    <n v="201.01"/>
    <x v="4"/>
    <x v="0"/>
    <x v="1"/>
    <x v="0"/>
    <x v="0"/>
  </r>
  <r>
    <n v="10592"/>
    <x v="28"/>
    <x v="1"/>
    <x v="0"/>
    <n v="3.49"/>
    <n v="573.07000000000005"/>
    <x v="0"/>
    <x v="0"/>
    <x v="1"/>
    <x v="0"/>
    <x v="0"/>
  </r>
  <r>
    <n v="10593"/>
    <x v="28"/>
    <x v="1"/>
    <x v="1"/>
    <n v="2.95"/>
    <n v="677.97"/>
    <x v="6"/>
    <x v="0"/>
    <x v="1"/>
    <x v="0"/>
    <x v="0"/>
  </r>
  <r>
    <n v="10594"/>
    <x v="28"/>
    <x v="1"/>
    <x v="2"/>
    <n v="4.99"/>
    <n v="200.4"/>
    <x v="2"/>
    <x v="0"/>
    <x v="1"/>
    <x v="0"/>
    <x v="0"/>
  </r>
  <r>
    <n v="10595"/>
    <x v="29"/>
    <x v="1"/>
    <x v="3"/>
    <n v="12.99"/>
    <n v="538.88"/>
    <x v="12"/>
    <x v="0"/>
    <x v="1"/>
    <x v="0"/>
    <x v="0"/>
  </r>
  <r>
    <n v="10596"/>
    <x v="29"/>
    <x v="1"/>
    <x v="4"/>
    <n v="9.9499999999999993"/>
    <n v="201.01"/>
    <x v="4"/>
    <x v="0"/>
    <x v="1"/>
    <x v="0"/>
    <x v="0"/>
  </r>
  <r>
    <n v="10597"/>
    <x v="29"/>
    <x v="1"/>
    <x v="0"/>
    <n v="3.49"/>
    <n v="573.07000000000005"/>
    <x v="0"/>
    <x v="0"/>
    <x v="1"/>
    <x v="0"/>
    <x v="0"/>
  </r>
  <r>
    <n v="10598"/>
    <x v="29"/>
    <x v="1"/>
    <x v="1"/>
    <n v="2.95"/>
    <n v="677.97"/>
    <x v="6"/>
    <x v="0"/>
    <x v="1"/>
    <x v="0"/>
    <x v="0"/>
  </r>
  <r>
    <n v="10599"/>
    <x v="29"/>
    <x v="1"/>
    <x v="2"/>
    <n v="4.99"/>
    <n v="200.4"/>
    <x v="2"/>
    <x v="0"/>
    <x v="1"/>
    <x v="0"/>
    <x v="0"/>
  </r>
  <r>
    <n v="10600"/>
    <x v="30"/>
    <x v="1"/>
    <x v="3"/>
    <n v="12.99"/>
    <n v="523.48"/>
    <x v="8"/>
    <x v="0"/>
    <x v="1"/>
    <x v="0"/>
    <x v="0"/>
  </r>
  <r>
    <n v="10601"/>
    <x v="30"/>
    <x v="1"/>
    <x v="4"/>
    <n v="9.9499999999999993"/>
    <n v="201.01"/>
    <x v="4"/>
    <x v="0"/>
    <x v="1"/>
    <x v="0"/>
    <x v="0"/>
  </r>
  <r>
    <n v="10602"/>
    <x v="30"/>
    <x v="1"/>
    <x v="0"/>
    <n v="3.49"/>
    <n v="630.37"/>
    <x v="7"/>
    <x v="0"/>
    <x v="2"/>
    <x v="0"/>
    <x v="0"/>
  </r>
  <r>
    <n v="10603"/>
    <x v="30"/>
    <x v="1"/>
    <x v="1"/>
    <n v="2.95"/>
    <n v="677.97"/>
    <x v="6"/>
    <x v="0"/>
    <x v="2"/>
    <x v="0"/>
    <x v="0"/>
  </r>
  <r>
    <n v="10604"/>
    <x v="30"/>
    <x v="1"/>
    <x v="2"/>
    <n v="4.99"/>
    <n v="200.4"/>
    <x v="2"/>
    <x v="0"/>
    <x v="2"/>
    <x v="0"/>
    <x v="0"/>
  </r>
  <r>
    <n v="10605"/>
    <x v="31"/>
    <x v="1"/>
    <x v="3"/>
    <n v="12.99"/>
    <n v="538.88"/>
    <x v="12"/>
    <x v="0"/>
    <x v="2"/>
    <x v="0"/>
    <x v="0"/>
  </r>
  <r>
    <n v="10606"/>
    <x v="31"/>
    <x v="1"/>
    <x v="4"/>
    <n v="9.9499999999999993"/>
    <n v="201.01"/>
    <x v="4"/>
    <x v="0"/>
    <x v="2"/>
    <x v="0"/>
    <x v="0"/>
  </r>
  <r>
    <n v="10607"/>
    <x v="31"/>
    <x v="1"/>
    <x v="0"/>
    <n v="3.49"/>
    <n v="630.37"/>
    <x v="7"/>
    <x v="0"/>
    <x v="2"/>
    <x v="0"/>
    <x v="0"/>
  </r>
  <r>
    <n v="10608"/>
    <x v="31"/>
    <x v="1"/>
    <x v="1"/>
    <n v="2.95"/>
    <n v="677.97"/>
    <x v="6"/>
    <x v="0"/>
    <x v="0"/>
    <x v="0"/>
    <x v="0"/>
  </r>
  <r>
    <n v="10609"/>
    <x v="31"/>
    <x v="1"/>
    <x v="2"/>
    <n v="4.99"/>
    <n v="200.4"/>
    <x v="2"/>
    <x v="0"/>
    <x v="0"/>
    <x v="0"/>
    <x v="0"/>
  </r>
  <r>
    <n v="10610"/>
    <x v="32"/>
    <x v="1"/>
    <x v="3"/>
    <n v="12.99"/>
    <n v="569.66999999999996"/>
    <x v="3"/>
    <x v="0"/>
    <x v="0"/>
    <x v="0"/>
    <x v="0"/>
  </r>
  <r>
    <n v="10611"/>
    <x v="32"/>
    <x v="1"/>
    <x v="4"/>
    <n v="9.9499999999999993"/>
    <n v="201.01"/>
    <x v="4"/>
    <x v="0"/>
    <x v="0"/>
    <x v="0"/>
    <x v="0"/>
  </r>
  <r>
    <n v="10612"/>
    <x v="32"/>
    <x v="1"/>
    <x v="0"/>
    <n v="3.49"/>
    <n v="630.37"/>
    <x v="7"/>
    <x v="0"/>
    <x v="0"/>
    <x v="0"/>
    <x v="0"/>
  </r>
  <r>
    <n v="10613"/>
    <x v="32"/>
    <x v="1"/>
    <x v="1"/>
    <n v="2.95"/>
    <n v="677.97"/>
    <x v="6"/>
    <x v="0"/>
    <x v="0"/>
    <x v="0"/>
    <x v="0"/>
  </r>
  <r>
    <n v="10614"/>
    <x v="32"/>
    <x v="1"/>
    <x v="2"/>
    <n v="4.99"/>
    <n v="200.4"/>
    <x v="2"/>
    <x v="0"/>
    <x v="0"/>
    <x v="0"/>
    <x v="0"/>
  </r>
  <r>
    <n v="10615"/>
    <x v="33"/>
    <x v="1"/>
    <x v="3"/>
    <n v="12.99"/>
    <n v="569.66999999999996"/>
    <x v="3"/>
    <x v="0"/>
    <x v="0"/>
    <x v="0"/>
    <x v="0"/>
  </r>
  <r>
    <n v="10616"/>
    <x v="33"/>
    <x v="1"/>
    <x v="4"/>
    <n v="9.9499999999999993"/>
    <n v="201.01"/>
    <x v="4"/>
    <x v="0"/>
    <x v="0"/>
    <x v="0"/>
    <x v="0"/>
  </r>
  <r>
    <n v="10617"/>
    <x v="33"/>
    <x v="1"/>
    <x v="0"/>
    <n v="3.49"/>
    <n v="630.37"/>
    <x v="7"/>
    <x v="0"/>
    <x v="0"/>
    <x v="0"/>
    <x v="0"/>
  </r>
  <r>
    <n v="10618"/>
    <x v="33"/>
    <x v="1"/>
    <x v="1"/>
    <n v="2.95"/>
    <n v="677.97"/>
    <x v="6"/>
    <x v="0"/>
    <x v="0"/>
    <x v="0"/>
    <x v="0"/>
  </r>
  <r>
    <n v="10619"/>
    <x v="33"/>
    <x v="1"/>
    <x v="2"/>
    <n v="4.99"/>
    <n v="200.4"/>
    <x v="2"/>
    <x v="0"/>
    <x v="0"/>
    <x v="0"/>
    <x v="0"/>
  </r>
  <r>
    <n v="10620"/>
    <x v="34"/>
    <x v="1"/>
    <x v="3"/>
    <n v="12.99"/>
    <n v="585.07000000000005"/>
    <x v="18"/>
    <x v="0"/>
    <x v="0"/>
    <x v="0"/>
    <x v="0"/>
  </r>
  <r>
    <n v="10621"/>
    <x v="34"/>
    <x v="1"/>
    <x v="4"/>
    <n v="9.9499999999999993"/>
    <n v="201.01"/>
    <x v="4"/>
    <x v="0"/>
    <x v="0"/>
    <x v="0"/>
    <x v="0"/>
  </r>
  <r>
    <n v="10622"/>
    <x v="34"/>
    <x v="1"/>
    <x v="0"/>
    <n v="3.49"/>
    <n v="630.37"/>
    <x v="7"/>
    <x v="0"/>
    <x v="0"/>
    <x v="0"/>
    <x v="0"/>
  </r>
  <r>
    <n v="10623"/>
    <x v="34"/>
    <x v="1"/>
    <x v="1"/>
    <n v="2.95"/>
    <n v="745.76"/>
    <x v="1"/>
    <x v="0"/>
    <x v="0"/>
    <x v="0"/>
    <x v="0"/>
  </r>
  <r>
    <n v="10624"/>
    <x v="34"/>
    <x v="1"/>
    <x v="2"/>
    <n v="4.99"/>
    <n v="200.4"/>
    <x v="2"/>
    <x v="0"/>
    <x v="0"/>
    <x v="0"/>
    <x v="0"/>
  </r>
  <r>
    <n v="10625"/>
    <x v="35"/>
    <x v="1"/>
    <x v="3"/>
    <n v="12.99"/>
    <n v="569.66999999999996"/>
    <x v="3"/>
    <x v="0"/>
    <x v="0"/>
    <x v="0"/>
    <x v="0"/>
  </r>
  <r>
    <n v="10626"/>
    <x v="35"/>
    <x v="1"/>
    <x v="4"/>
    <n v="9.9499999999999993"/>
    <n v="201.01"/>
    <x v="4"/>
    <x v="0"/>
    <x v="0"/>
    <x v="0"/>
    <x v="0"/>
  </r>
  <r>
    <n v="10627"/>
    <x v="35"/>
    <x v="1"/>
    <x v="0"/>
    <n v="3.49"/>
    <n v="630.37"/>
    <x v="7"/>
    <x v="0"/>
    <x v="0"/>
    <x v="0"/>
    <x v="0"/>
  </r>
  <r>
    <n v="10628"/>
    <x v="35"/>
    <x v="1"/>
    <x v="1"/>
    <n v="2.95"/>
    <n v="677.97"/>
    <x v="6"/>
    <x v="0"/>
    <x v="0"/>
    <x v="2"/>
    <x v="2"/>
  </r>
  <r>
    <n v="10629"/>
    <x v="35"/>
    <x v="1"/>
    <x v="2"/>
    <n v="4.99"/>
    <n v="200.4"/>
    <x v="2"/>
    <x v="0"/>
    <x v="0"/>
    <x v="2"/>
    <x v="2"/>
  </r>
  <r>
    <n v="10630"/>
    <x v="36"/>
    <x v="1"/>
    <x v="3"/>
    <n v="12.99"/>
    <n v="569.66999999999996"/>
    <x v="3"/>
    <x v="0"/>
    <x v="2"/>
    <x v="2"/>
    <x v="2"/>
  </r>
  <r>
    <n v="10631"/>
    <x v="36"/>
    <x v="1"/>
    <x v="4"/>
    <n v="9.9499999999999993"/>
    <n v="201.01"/>
    <x v="4"/>
    <x v="0"/>
    <x v="0"/>
    <x v="2"/>
    <x v="2"/>
  </r>
  <r>
    <n v="10632"/>
    <x v="36"/>
    <x v="1"/>
    <x v="0"/>
    <n v="3.49"/>
    <n v="630.37"/>
    <x v="7"/>
    <x v="0"/>
    <x v="0"/>
    <x v="2"/>
    <x v="2"/>
  </r>
  <r>
    <n v="10633"/>
    <x v="36"/>
    <x v="1"/>
    <x v="1"/>
    <n v="2.95"/>
    <n v="677.97"/>
    <x v="6"/>
    <x v="0"/>
    <x v="0"/>
    <x v="2"/>
    <x v="2"/>
  </r>
  <r>
    <n v="10634"/>
    <x v="36"/>
    <x v="1"/>
    <x v="2"/>
    <n v="4.99"/>
    <n v="200.4"/>
    <x v="2"/>
    <x v="0"/>
    <x v="0"/>
    <x v="2"/>
    <x v="2"/>
  </r>
  <r>
    <n v="10635"/>
    <x v="37"/>
    <x v="1"/>
    <x v="3"/>
    <n v="12.99"/>
    <n v="554.27"/>
    <x v="5"/>
    <x v="0"/>
    <x v="0"/>
    <x v="2"/>
    <x v="2"/>
  </r>
  <r>
    <n v="10636"/>
    <x v="37"/>
    <x v="1"/>
    <x v="4"/>
    <n v="9.9499999999999993"/>
    <n v="221.11"/>
    <x v="19"/>
    <x v="0"/>
    <x v="0"/>
    <x v="2"/>
    <x v="2"/>
  </r>
  <r>
    <n v="10637"/>
    <x v="37"/>
    <x v="1"/>
    <x v="0"/>
    <n v="3.49"/>
    <n v="630.37"/>
    <x v="7"/>
    <x v="0"/>
    <x v="0"/>
    <x v="2"/>
    <x v="2"/>
  </r>
  <r>
    <n v="10638"/>
    <x v="37"/>
    <x v="1"/>
    <x v="1"/>
    <n v="2.95"/>
    <n v="677.97"/>
    <x v="6"/>
    <x v="0"/>
    <x v="0"/>
    <x v="2"/>
    <x v="2"/>
  </r>
  <r>
    <n v="10639"/>
    <x v="37"/>
    <x v="1"/>
    <x v="2"/>
    <n v="4.99"/>
    <n v="200.4"/>
    <x v="2"/>
    <x v="0"/>
    <x v="0"/>
    <x v="2"/>
    <x v="2"/>
  </r>
  <r>
    <n v="10640"/>
    <x v="38"/>
    <x v="1"/>
    <x v="3"/>
    <n v="12.99"/>
    <n v="538.88"/>
    <x v="12"/>
    <x v="0"/>
    <x v="0"/>
    <x v="2"/>
    <x v="2"/>
  </r>
  <r>
    <n v="10641"/>
    <x v="38"/>
    <x v="1"/>
    <x v="4"/>
    <n v="9.9499999999999993"/>
    <n v="221.11"/>
    <x v="19"/>
    <x v="0"/>
    <x v="0"/>
    <x v="2"/>
    <x v="2"/>
  </r>
  <r>
    <n v="10642"/>
    <x v="38"/>
    <x v="1"/>
    <x v="0"/>
    <n v="3.49"/>
    <n v="630.37"/>
    <x v="7"/>
    <x v="0"/>
    <x v="2"/>
    <x v="2"/>
    <x v="2"/>
  </r>
  <r>
    <n v="10643"/>
    <x v="38"/>
    <x v="1"/>
    <x v="1"/>
    <n v="2.95"/>
    <n v="677.97"/>
    <x v="6"/>
    <x v="0"/>
    <x v="2"/>
    <x v="2"/>
    <x v="2"/>
  </r>
  <r>
    <n v="10644"/>
    <x v="38"/>
    <x v="1"/>
    <x v="2"/>
    <n v="4.99"/>
    <n v="200.4"/>
    <x v="2"/>
    <x v="0"/>
    <x v="2"/>
    <x v="2"/>
    <x v="2"/>
  </r>
  <r>
    <n v="10645"/>
    <x v="39"/>
    <x v="1"/>
    <x v="3"/>
    <n v="12.99"/>
    <n v="569.66999999999996"/>
    <x v="3"/>
    <x v="0"/>
    <x v="2"/>
    <x v="2"/>
    <x v="2"/>
  </r>
  <r>
    <n v="10646"/>
    <x v="39"/>
    <x v="1"/>
    <x v="4"/>
    <n v="9.9499999999999993"/>
    <n v="221.11"/>
    <x v="19"/>
    <x v="0"/>
    <x v="2"/>
    <x v="2"/>
    <x v="2"/>
  </r>
  <r>
    <n v="10647"/>
    <x v="39"/>
    <x v="1"/>
    <x v="0"/>
    <n v="3.49"/>
    <n v="630.37"/>
    <x v="7"/>
    <x v="0"/>
    <x v="0"/>
    <x v="2"/>
    <x v="2"/>
  </r>
  <r>
    <n v="10648"/>
    <x v="39"/>
    <x v="1"/>
    <x v="1"/>
    <n v="2.95"/>
    <n v="745.76"/>
    <x v="1"/>
    <x v="0"/>
    <x v="0"/>
    <x v="2"/>
    <x v="2"/>
  </r>
  <r>
    <n v="10649"/>
    <x v="39"/>
    <x v="1"/>
    <x v="2"/>
    <n v="4.99"/>
    <n v="200.4"/>
    <x v="2"/>
    <x v="0"/>
    <x v="0"/>
    <x v="2"/>
    <x v="2"/>
  </r>
  <r>
    <n v="10650"/>
    <x v="40"/>
    <x v="1"/>
    <x v="3"/>
    <n v="12.99"/>
    <n v="585.07000000000005"/>
    <x v="18"/>
    <x v="0"/>
    <x v="0"/>
    <x v="2"/>
    <x v="2"/>
  </r>
  <r>
    <n v="10651"/>
    <x v="40"/>
    <x v="1"/>
    <x v="4"/>
    <n v="9.9499999999999993"/>
    <n v="221.11"/>
    <x v="19"/>
    <x v="0"/>
    <x v="0"/>
    <x v="2"/>
    <x v="2"/>
  </r>
  <r>
    <n v="10652"/>
    <x v="40"/>
    <x v="1"/>
    <x v="0"/>
    <n v="3.49"/>
    <n v="687.68"/>
    <x v="13"/>
    <x v="0"/>
    <x v="0"/>
    <x v="2"/>
    <x v="2"/>
  </r>
  <r>
    <n v="10653"/>
    <x v="40"/>
    <x v="1"/>
    <x v="1"/>
    <n v="2.95"/>
    <n v="745.76"/>
    <x v="1"/>
    <x v="0"/>
    <x v="0"/>
    <x v="2"/>
    <x v="2"/>
  </r>
  <r>
    <n v="10654"/>
    <x v="40"/>
    <x v="1"/>
    <x v="2"/>
    <n v="4.99"/>
    <n v="200.4"/>
    <x v="2"/>
    <x v="0"/>
    <x v="0"/>
    <x v="2"/>
    <x v="2"/>
  </r>
  <r>
    <n v="10655"/>
    <x v="41"/>
    <x v="1"/>
    <x v="3"/>
    <n v="12.99"/>
    <n v="600.46"/>
    <x v="20"/>
    <x v="0"/>
    <x v="0"/>
    <x v="2"/>
    <x v="2"/>
  </r>
  <r>
    <n v="10656"/>
    <x v="41"/>
    <x v="1"/>
    <x v="4"/>
    <n v="9.9499999999999993"/>
    <n v="221.11"/>
    <x v="19"/>
    <x v="0"/>
    <x v="0"/>
    <x v="2"/>
    <x v="2"/>
  </r>
  <r>
    <n v="10657"/>
    <x v="41"/>
    <x v="1"/>
    <x v="0"/>
    <n v="3.49"/>
    <n v="687.68"/>
    <x v="13"/>
    <x v="0"/>
    <x v="0"/>
    <x v="2"/>
    <x v="2"/>
  </r>
  <r>
    <n v="10658"/>
    <x v="41"/>
    <x v="1"/>
    <x v="1"/>
    <n v="2.95"/>
    <n v="745.76"/>
    <x v="1"/>
    <x v="0"/>
    <x v="2"/>
    <x v="2"/>
    <x v="2"/>
  </r>
  <r>
    <n v="10659"/>
    <x v="41"/>
    <x v="1"/>
    <x v="2"/>
    <n v="4.99"/>
    <n v="200.4"/>
    <x v="2"/>
    <x v="0"/>
    <x v="2"/>
    <x v="2"/>
    <x v="2"/>
  </r>
  <r>
    <n v="10660"/>
    <x v="42"/>
    <x v="1"/>
    <x v="3"/>
    <n v="12.99"/>
    <n v="631.25"/>
    <x v="21"/>
    <x v="1"/>
    <x v="2"/>
    <x v="2"/>
    <x v="2"/>
  </r>
  <r>
    <n v="10661"/>
    <x v="42"/>
    <x v="1"/>
    <x v="4"/>
    <n v="9.9499999999999993"/>
    <n v="221.11"/>
    <x v="19"/>
    <x v="1"/>
    <x v="2"/>
    <x v="2"/>
    <x v="2"/>
  </r>
  <r>
    <n v="10662"/>
    <x v="42"/>
    <x v="1"/>
    <x v="0"/>
    <n v="3.49"/>
    <n v="630.37"/>
    <x v="7"/>
    <x v="1"/>
    <x v="2"/>
    <x v="2"/>
    <x v="2"/>
  </r>
  <r>
    <n v="10663"/>
    <x v="42"/>
    <x v="1"/>
    <x v="1"/>
    <n v="2.95"/>
    <n v="745.76"/>
    <x v="1"/>
    <x v="1"/>
    <x v="2"/>
    <x v="2"/>
    <x v="2"/>
  </r>
  <r>
    <n v="10664"/>
    <x v="42"/>
    <x v="1"/>
    <x v="2"/>
    <n v="4.99"/>
    <n v="200.4"/>
    <x v="2"/>
    <x v="1"/>
    <x v="2"/>
    <x v="2"/>
    <x v="2"/>
  </r>
  <r>
    <n v="10665"/>
    <x v="43"/>
    <x v="1"/>
    <x v="3"/>
    <n v="12.99"/>
    <n v="646.65"/>
    <x v="22"/>
    <x v="1"/>
    <x v="2"/>
    <x v="2"/>
    <x v="2"/>
  </r>
  <r>
    <n v="10666"/>
    <x v="43"/>
    <x v="1"/>
    <x v="4"/>
    <n v="9.9499999999999993"/>
    <n v="221.11"/>
    <x v="19"/>
    <x v="1"/>
    <x v="2"/>
    <x v="2"/>
    <x v="2"/>
  </r>
  <r>
    <n v="10667"/>
    <x v="43"/>
    <x v="1"/>
    <x v="0"/>
    <n v="3.49"/>
    <n v="630.37"/>
    <x v="7"/>
    <x v="1"/>
    <x v="2"/>
    <x v="2"/>
    <x v="2"/>
  </r>
  <r>
    <n v="10668"/>
    <x v="43"/>
    <x v="1"/>
    <x v="1"/>
    <n v="2.95"/>
    <n v="745.76"/>
    <x v="1"/>
    <x v="1"/>
    <x v="2"/>
    <x v="2"/>
    <x v="2"/>
  </r>
  <r>
    <n v="10669"/>
    <x v="43"/>
    <x v="1"/>
    <x v="2"/>
    <n v="4.99"/>
    <n v="200.4"/>
    <x v="2"/>
    <x v="1"/>
    <x v="2"/>
    <x v="2"/>
    <x v="2"/>
  </r>
  <r>
    <n v="10670"/>
    <x v="44"/>
    <x v="1"/>
    <x v="3"/>
    <n v="12.99"/>
    <n v="677.44"/>
    <x v="23"/>
    <x v="1"/>
    <x v="2"/>
    <x v="2"/>
    <x v="2"/>
  </r>
  <r>
    <n v="10671"/>
    <x v="44"/>
    <x v="1"/>
    <x v="4"/>
    <n v="9.9499999999999993"/>
    <n v="221.11"/>
    <x v="19"/>
    <x v="1"/>
    <x v="2"/>
    <x v="2"/>
    <x v="2"/>
  </r>
  <r>
    <n v="10672"/>
    <x v="44"/>
    <x v="1"/>
    <x v="0"/>
    <n v="3.49"/>
    <n v="630.37"/>
    <x v="7"/>
    <x v="1"/>
    <x v="2"/>
    <x v="2"/>
    <x v="2"/>
  </r>
  <r>
    <n v="10673"/>
    <x v="44"/>
    <x v="1"/>
    <x v="1"/>
    <n v="2.95"/>
    <n v="745.76"/>
    <x v="1"/>
    <x v="1"/>
    <x v="2"/>
    <x v="2"/>
    <x v="2"/>
  </r>
  <r>
    <n v="10674"/>
    <x v="44"/>
    <x v="1"/>
    <x v="2"/>
    <n v="4.99"/>
    <n v="200.4"/>
    <x v="2"/>
    <x v="1"/>
    <x v="2"/>
    <x v="2"/>
    <x v="2"/>
  </r>
  <r>
    <n v="10675"/>
    <x v="45"/>
    <x v="1"/>
    <x v="3"/>
    <n v="12.99"/>
    <n v="677.44"/>
    <x v="23"/>
    <x v="1"/>
    <x v="2"/>
    <x v="2"/>
    <x v="2"/>
  </r>
  <r>
    <n v="10676"/>
    <x v="45"/>
    <x v="1"/>
    <x v="4"/>
    <n v="9.9499999999999993"/>
    <n v="241.21"/>
    <x v="24"/>
    <x v="1"/>
    <x v="2"/>
    <x v="2"/>
    <x v="2"/>
  </r>
  <r>
    <n v="10677"/>
    <x v="45"/>
    <x v="1"/>
    <x v="0"/>
    <n v="3.49"/>
    <n v="630.37"/>
    <x v="7"/>
    <x v="1"/>
    <x v="2"/>
    <x v="2"/>
    <x v="2"/>
  </r>
  <r>
    <n v="10678"/>
    <x v="45"/>
    <x v="1"/>
    <x v="1"/>
    <n v="2.95"/>
    <n v="745.76"/>
    <x v="1"/>
    <x v="1"/>
    <x v="2"/>
    <x v="2"/>
    <x v="2"/>
  </r>
  <r>
    <n v="10679"/>
    <x v="45"/>
    <x v="1"/>
    <x v="2"/>
    <n v="4.99"/>
    <n v="200.4"/>
    <x v="2"/>
    <x v="1"/>
    <x v="2"/>
    <x v="2"/>
    <x v="2"/>
  </r>
  <r>
    <n v="10680"/>
    <x v="46"/>
    <x v="1"/>
    <x v="3"/>
    <n v="12.99"/>
    <n v="646.65"/>
    <x v="22"/>
    <x v="1"/>
    <x v="2"/>
    <x v="2"/>
    <x v="2"/>
  </r>
  <r>
    <n v="10681"/>
    <x v="46"/>
    <x v="1"/>
    <x v="4"/>
    <n v="9.9499999999999993"/>
    <n v="241.21"/>
    <x v="24"/>
    <x v="1"/>
    <x v="2"/>
    <x v="2"/>
    <x v="2"/>
  </r>
  <r>
    <n v="10682"/>
    <x v="46"/>
    <x v="1"/>
    <x v="0"/>
    <n v="3.49"/>
    <n v="630.37"/>
    <x v="7"/>
    <x v="1"/>
    <x v="2"/>
    <x v="2"/>
    <x v="2"/>
  </r>
  <r>
    <n v="10683"/>
    <x v="46"/>
    <x v="1"/>
    <x v="1"/>
    <n v="2.95"/>
    <n v="677.97"/>
    <x v="6"/>
    <x v="1"/>
    <x v="2"/>
    <x v="2"/>
    <x v="2"/>
  </r>
  <r>
    <n v="10684"/>
    <x v="46"/>
    <x v="1"/>
    <x v="2"/>
    <n v="4.99"/>
    <n v="200.4"/>
    <x v="2"/>
    <x v="1"/>
    <x v="2"/>
    <x v="2"/>
    <x v="2"/>
  </r>
  <r>
    <n v="10685"/>
    <x v="47"/>
    <x v="1"/>
    <x v="3"/>
    <n v="12.99"/>
    <n v="677.44"/>
    <x v="23"/>
    <x v="1"/>
    <x v="2"/>
    <x v="2"/>
    <x v="2"/>
  </r>
  <r>
    <n v="10686"/>
    <x v="47"/>
    <x v="1"/>
    <x v="4"/>
    <n v="9.9499999999999993"/>
    <n v="241.21"/>
    <x v="24"/>
    <x v="1"/>
    <x v="2"/>
    <x v="2"/>
    <x v="2"/>
  </r>
  <r>
    <n v="10687"/>
    <x v="47"/>
    <x v="1"/>
    <x v="0"/>
    <n v="3.49"/>
    <n v="630.37"/>
    <x v="7"/>
    <x v="1"/>
    <x v="2"/>
    <x v="3"/>
    <x v="3"/>
  </r>
  <r>
    <n v="10688"/>
    <x v="47"/>
    <x v="1"/>
    <x v="1"/>
    <n v="2.95"/>
    <n v="677.97"/>
    <x v="6"/>
    <x v="1"/>
    <x v="2"/>
    <x v="3"/>
    <x v="3"/>
  </r>
  <r>
    <n v="10689"/>
    <x v="47"/>
    <x v="1"/>
    <x v="2"/>
    <n v="4.99"/>
    <n v="200.4"/>
    <x v="2"/>
    <x v="1"/>
    <x v="2"/>
    <x v="3"/>
    <x v="3"/>
  </r>
  <r>
    <n v="10690"/>
    <x v="48"/>
    <x v="1"/>
    <x v="3"/>
    <n v="12.99"/>
    <n v="677.44"/>
    <x v="23"/>
    <x v="1"/>
    <x v="2"/>
    <x v="3"/>
    <x v="3"/>
  </r>
  <r>
    <n v="10691"/>
    <x v="48"/>
    <x v="1"/>
    <x v="4"/>
    <n v="9.9499999999999993"/>
    <n v="261.31"/>
    <x v="25"/>
    <x v="1"/>
    <x v="2"/>
    <x v="3"/>
    <x v="3"/>
  </r>
  <r>
    <n v="10692"/>
    <x v="48"/>
    <x v="1"/>
    <x v="0"/>
    <n v="3.49"/>
    <n v="630.37"/>
    <x v="7"/>
    <x v="1"/>
    <x v="2"/>
    <x v="3"/>
    <x v="3"/>
  </r>
  <r>
    <n v="10693"/>
    <x v="48"/>
    <x v="1"/>
    <x v="1"/>
    <n v="2.95"/>
    <n v="677.97"/>
    <x v="6"/>
    <x v="1"/>
    <x v="2"/>
    <x v="3"/>
    <x v="3"/>
  </r>
  <r>
    <n v="10694"/>
    <x v="48"/>
    <x v="1"/>
    <x v="2"/>
    <n v="4.99"/>
    <n v="200.4"/>
    <x v="2"/>
    <x v="1"/>
    <x v="2"/>
    <x v="3"/>
    <x v="3"/>
  </r>
  <r>
    <n v="10695"/>
    <x v="49"/>
    <x v="1"/>
    <x v="3"/>
    <n v="12.99"/>
    <n v="692.84"/>
    <x v="26"/>
    <x v="1"/>
    <x v="2"/>
    <x v="3"/>
    <x v="3"/>
  </r>
  <r>
    <n v="10696"/>
    <x v="49"/>
    <x v="1"/>
    <x v="4"/>
    <n v="9.9499999999999993"/>
    <n v="281.41000000000003"/>
    <x v="27"/>
    <x v="1"/>
    <x v="2"/>
    <x v="3"/>
    <x v="3"/>
  </r>
  <r>
    <n v="10697"/>
    <x v="49"/>
    <x v="1"/>
    <x v="0"/>
    <n v="3.49"/>
    <n v="630.37"/>
    <x v="7"/>
    <x v="1"/>
    <x v="2"/>
    <x v="3"/>
    <x v="3"/>
  </r>
  <r>
    <n v="10698"/>
    <x v="49"/>
    <x v="1"/>
    <x v="1"/>
    <n v="2.95"/>
    <n v="677.97"/>
    <x v="6"/>
    <x v="1"/>
    <x v="2"/>
    <x v="3"/>
    <x v="3"/>
  </r>
  <r>
    <n v="10699"/>
    <x v="49"/>
    <x v="1"/>
    <x v="2"/>
    <n v="4.99"/>
    <n v="200.4"/>
    <x v="2"/>
    <x v="1"/>
    <x v="2"/>
    <x v="3"/>
    <x v="3"/>
  </r>
  <r>
    <n v="10700"/>
    <x v="50"/>
    <x v="1"/>
    <x v="3"/>
    <n v="12.99"/>
    <n v="692.84"/>
    <x v="26"/>
    <x v="1"/>
    <x v="2"/>
    <x v="3"/>
    <x v="3"/>
  </r>
  <r>
    <n v="10701"/>
    <x v="50"/>
    <x v="1"/>
    <x v="4"/>
    <n v="9.9499999999999993"/>
    <n v="281.41000000000003"/>
    <x v="27"/>
    <x v="1"/>
    <x v="2"/>
    <x v="3"/>
    <x v="3"/>
  </r>
  <r>
    <n v="10702"/>
    <x v="50"/>
    <x v="1"/>
    <x v="0"/>
    <n v="3.49"/>
    <n v="630.37"/>
    <x v="7"/>
    <x v="1"/>
    <x v="2"/>
    <x v="3"/>
    <x v="3"/>
  </r>
  <r>
    <n v="10703"/>
    <x v="50"/>
    <x v="1"/>
    <x v="1"/>
    <n v="2.95"/>
    <n v="677.97"/>
    <x v="6"/>
    <x v="1"/>
    <x v="0"/>
    <x v="3"/>
    <x v="3"/>
  </r>
  <r>
    <n v="10704"/>
    <x v="50"/>
    <x v="1"/>
    <x v="2"/>
    <n v="4.99"/>
    <n v="200.4"/>
    <x v="2"/>
    <x v="2"/>
    <x v="0"/>
    <x v="3"/>
    <x v="3"/>
  </r>
  <r>
    <n v="10705"/>
    <x v="51"/>
    <x v="1"/>
    <x v="3"/>
    <n v="12.99"/>
    <n v="723.63"/>
    <x v="28"/>
    <x v="2"/>
    <x v="0"/>
    <x v="3"/>
    <x v="3"/>
  </r>
  <r>
    <n v="10706"/>
    <x v="51"/>
    <x v="1"/>
    <x v="4"/>
    <n v="9.9499999999999993"/>
    <n v="301.51"/>
    <x v="29"/>
    <x v="2"/>
    <x v="0"/>
    <x v="3"/>
    <x v="3"/>
  </r>
  <r>
    <n v="10707"/>
    <x v="51"/>
    <x v="1"/>
    <x v="0"/>
    <n v="3.49"/>
    <n v="630.37"/>
    <x v="7"/>
    <x v="2"/>
    <x v="0"/>
    <x v="3"/>
    <x v="3"/>
  </r>
  <r>
    <n v="10708"/>
    <x v="51"/>
    <x v="1"/>
    <x v="1"/>
    <n v="2.95"/>
    <n v="677.97"/>
    <x v="6"/>
    <x v="2"/>
    <x v="0"/>
    <x v="3"/>
    <x v="3"/>
  </r>
  <r>
    <n v="10709"/>
    <x v="51"/>
    <x v="1"/>
    <x v="2"/>
    <n v="4.99"/>
    <n v="200.4"/>
    <x v="2"/>
    <x v="2"/>
    <x v="0"/>
    <x v="3"/>
    <x v="3"/>
  </r>
  <r>
    <n v="10710"/>
    <x v="52"/>
    <x v="1"/>
    <x v="3"/>
    <n v="12.99"/>
    <n v="754.43"/>
    <x v="30"/>
    <x v="2"/>
    <x v="0"/>
    <x v="3"/>
    <x v="3"/>
  </r>
  <r>
    <n v="10711"/>
    <x v="52"/>
    <x v="1"/>
    <x v="4"/>
    <n v="9.9499999999999993"/>
    <n v="281.41000000000003"/>
    <x v="27"/>
    <x v="2"/>
    <x v="0"/>
    <x v="3"/>
    <x v="3"/>
  </r>
  <r>
    <n v="10712"/>
    <x v="52"/>
    <x v="1"/>
    <x v="0"/>
    <n v="3.49"/>
    <n v="630.37"/>
    <x v="7"/>
    <x v="2"/>
    <x v="0"/>
    <x v="3"/>
    <x v="3"/>
  </r>
  <r>
    <n v="10713"/>
    <x v="52"/>
    <x v="1"/>
    <x v="1"/>
    <n v="2.95"/>
    <n v="677.97"/>
    <x v="6"/>
    <x v="2"/>
    <x v="0"/>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61C78B-37EF-4D7B-B2FA-ACE9889EB0B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K9" firstHeaderRow="1" firstDataRow="1" firstDataCol="1"/>
  <pivotFields count="12">
    <pivotField showAll="0"/>
    <pivotField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pivotField axis="axisRow" showAll="0">
      <items count="6">
        <item x="1"/>
        <item x="3"/>
        <item x="4"/>
        <item x="0"/>
        <item x="2"/>
        <item t="default"/>
      </items>
    </pivotField>
    <pivotField numFmtId="165" showAll="0"/>
    <pivotField numFmtId="1" showAll="0"/>
    <pivotField dataField="1" numFmtId="164" showAll="0"/>
    <pivotField showAll="0"/>
    <pivotField showAll="0"/>
    <pivotField showAll="0"/>
    <pivotField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3"/>
  </rowFields>
  <rowItems count="6">
    <i>
      <x/>
    </i>
    <i>
      <x v="1"/>
    </i>
    <i>
      <x v="2"/>
    </i>
    <i>
      <x v="3"/>
    </i>
    <i>
      <x v="4"/>
    </i>
    <i t="grand">
      <x/>
    </i>
  </rowItems>
  <colItems count="1">
    <i/>
  </colItems>
  <dataFields count="1">
    <dataField name="Sum of Total Sale" fld="6" baseField="0" baseItem="0" numFmtId="164"/>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1C351C-9A3D-4BE7-91EC-A61F256065D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2:H18" firstHeaderRow="1" firstDataRow="1" firstDataCol="1"/>
  <pivotFields count="12">
    <pivotField showAll="0"/>
    <pivotField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pivotField axis="axisRow" showAll="0">
      <items count="6">
        <item x="1"/>
        <item x="3"/>
        <item x="4"/>
        <item x="0"/>
        <item x="2"/>
        <item t="default"/>
      </items>
    </pivotField>
    <pivotField numFmtId="165" showAll="0"/>
    <pivotField dataField="1" numFmtId="1" showAll="0"/>
    <pivotField numFmtId="164" showAll="0"/>
    <pivotField showAll="0"/>
    <pivotField showAll="0"/>
    <pivotField showAll="0"/>
    <pivotField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3"/>
  </rowFields>
  <rowItems count="6">
    <i>
      <x/>
    </i>
    <i>
      <x v="1"/>
    </i>
    <i>
      <x v="2"/>
    </i>
    <i>
      <x v="3"/>
    </i>
    <i>
      <x v="4"/>
    </i>
    <i t="grand">
      <x/>
    </i>
  </rowItems>
  <colItems count="1">
    <i/>
  </colItems>
  <dataFields count="1">
    <dataField name="Sum of Quantity" fld="5" baseField="0" baseItem="0" numFmtId="1"/>
  </dataFields>
  <chartFormats count="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A69ED7-1C96-4486-8968-D8D9C320D3E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9" firstHeaderRow="1" firstDataRow="1" firstDataCol="1"/>
  <pivotFields count="12">
    <pivotField showAll="0"/>
    <pivotField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pivotField showAll="0">
      <items count="6">
        <item x="1"/>
        <item x="3"/>
        <item x="4"/>
        <item x="0"/>
        <item x="2"/>
        <item t="default"/>
      </items>
    </pivotField>
    <pivotField numFmtId="165" showAll="0"/>
    <pivotField numFmtId="1" showAll="0"/>
    <pivotField dataField="1" numFmtId="164" showAll="0">
      <items count="32">
        <item x="2"/>
        <item x="6"/>
        <item x="0"/>
        <item x="4"/>
        <item x="7"/>
        <item x="1"/>
        <item x="19"/>
        <item x="13"/>
        <item x="24"/>
        <item x="25"/>
        <item x="27"/>
        <item x="29"/>
        <item x="17"/>
        <item x="11"/>
        <item x="16"/>
        <item x="14"/>
        <item x="15"/>
        <item x="9"/>
        <item x="8"/>
        <item x="12"/>
        <item x="5"/>
        <item x="3"/>
        <item x="18"/>
        <item x="20"/>
        <item x="21"/>
        <item x="22"/>
        <item x="23"/>
        <item x="26"/>
        <item x="28"/>
        <item x="30"/>
        <item x="10"/>
        <item t="default"/>
      </items>
    </pivotField>
    <pivotField showAll="0"/>
    <pivotField showAll="0"/>
    <pivotField axis="axisRow" showAll="0">
      <items count="6">
        <item x="2"/>
        <item x="1"/>
        <item x="4"/>
        <item x="0"/>
        <item x="3"/>
        <item t="default"/>
      </items>
    </pivotField>
    <pivotField showAll="0">
      <items count="6">
        <item h="1" x="3"/>
        <item h="1" x="2"/>
        <item x="0"/>
        <item h="1" x="1"/>
        <item h="1" x="4"/>
        <item t="default"/>
      </items>
    </pivotField>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9"/>
  </rowFields>
  <rowItems count="6">
    <i>
      <x/>
    </i>
    <i>
      <x v="1"/>
    </i>
    <i>
      <x v="2"/>
    </i>
    <i>
      <x v="3"/>
    </i>
    <i>
      <x v="4"/>
    </i>
    <i t="grand">
      <x/>
    </i>
  </rowItems>
  <colItems count="1">
    <i/>
  </colItems>
  <dataFields count="1">
    <dataField name="Sum of Total Sale" fld="6" baseField="0" baseItem="0" numFmtId="164"/>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AD2141-4068-4270-963A-ADFA9493A27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1:E17" firstHeaderRow="1" firstDataRow="1" firstDataCol="1"/>
  <pivotFields count="12">
    <pivotField showAll="0"/>
    <pivotField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pivotField showAll="0"/>
    <pivotField numFmtId="165" showAll="0"/>
    <pivotField numFmtId="1" showAll="0"/>
    <pivotField dataField="1" numFmtId="164" showAll="0">
      <items count="32">
        <item x="2"/>
        <item x="6"/>
        <item x="0"/>
        <item x="4"/>
        <item x="7"/>
        <item x="1"/>
        <item x="19"/>
        <item x="13"/>
        <item x="24"/>
        <item x="25"/>
        <item x="27"/>
        <item x="29"/>
        <item x="17"/>
        <item x="11"/>
        <item x="16"/>
        <item x="14"/>
        <item x="15"/>
        <item x="9"/>
        <item x="8"/>
        <item x="12"/>
        <item x="5"/>
        <item x="3"/>
        <item x="18"/>
        <item x="20"/>
        <item x="21"/>
        <item x="22"/>
        <item x="23"/>
        <item x="26"/>
        <item x="28"/>
        <item x="30"/>
        <item x="10"/>
        <item t="default"/>
      </items>
    </pivotField>
    <pivotField showAll="0"/>
    <pivotField showAll="0"/>
    <pivotField showAll="0"/>
    <pivotField axis="axisRow" showAll="0">
      <items count="6">
        <item x="3"/>
        <item x="2"/>
        <item x="0"/>
        <item x="1"/>
        <item x="4"/>
        <item t="default"/>
      </items>
    </pivotField>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10"/>
  </rowFields>
  <rowItems count="6">
    <i>
      <x/>
    </i>
    <i>
      <x v="1"/>
    </i>
    <i>
      <x v="2"/>
    </i>
    <i>
      <x v="3"/>
    </i>
    <i>
      <x v="4"/>
    </i>
    <i t="grand">
      <x/>
    </i>
  </rowItems>
  <colItems count="1">
    <i/>
  </colItems>
  <dataFields count="1">
    <dataField name="Sum of Total Sale" fld="6" baseField="0" baseItem="0" numFmtId="164"/>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9CF872-5982-4623-9CC4-9AF58EAEF28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12">
    <pivotField showAll="0"/>
    <pivotField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items count="3">
        <item h="1" x="0"/>
        <item x="1"/>
        <item t="default"/>
      </items>
    </pivotField>
    <pivotField showAll="0"/>
    <pivotField numFmtId="165" showAll="0"/>
    <pivotField numFmtId="1" showAll="0"/>
    <pivotField dataField="1" numFmtId="164" showAll="0"/>
    <pivotField showAll="0"/>
    <pivotField showAll="0"/>
    <pivotField showAll="0"/>
    <pivotField showAll="0"/>
    <pivotField axis="axisRow" showAll="0" measureFilter="1">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1"/>
  </rowFields>
  <rowItems count="11">
    <i>
      <x v="355"/>
    </i>
    <i>
      <x v="356"/>
    </i>
    <i>
      <x v="357"/>
    </i>
    <i>
      <x v="358"/>
    </i>
    <i>
      <x v="359"/>
    </i>
    <i>
      <x v="360"/>
    </i>
    <i>
      <x v="361"/>
    </i>
    <i>
      <x v="362"/>
    </i>
    <i>
      <x v="363"/>
    </i>
    <i>
      <x v="364"/>
    </i>
    <i t="grand">
      <x/>
    </i>
  </rowItems>
  <colItems count="1">
    <i/>
  </colItems>
  <dataFields count="1">
    <dataField name="Sum of Total Sale" fld="6" baseField="0" baseItem="0" numFmtId="164"/>
  </dataFields>
  <chartFormats count="3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319"/>
          </reference>
        </references>
      </pivotArea>
    </chartFormat>
    <chartFormat chart="0" format="2">
      <pivotArea type="data" outline="0" fieldPosition="0">
        <references count="2">
          <reference field="4294967294" count="1" selected="0">
            <x v="0"/>
          </reference>
          <reference field="11" count="1" selected="0">
            <x v="356"/>
          </reference>
        </references>
      </pivotArea>
    </chartFormat>
    <chartFormat chart="0" format="3">
      <pivotArea type="data" outline="0" fieldPosition="0">
        <references count="2">
          <reference field="4294967294" count="1" selected="0">
            <x v="0"/>
          </reference>
          <reference field="11" count="1" selected="0">
            <x v="357"/>
          </reference>
        </references>
      </pivotArea>
    </chartFormat>
    <chartFormat chart="0" format="4">
      <pivotArea type="data" outline="0" fieldPosition="0">
        <references count="2">
          <reference field="4294967294" count="1" selected="0">
            <x v="0"/>
          </reference>
          <reference field="11" count="1" selected="0">
            <x v="359"/>
          </reference>
        </references>
      </pivotArea>
    </chartFormat>
    <chartFormat chart="0" format="5">
      <pivotArea type="data" outline="0" fieldPosition="0">
        <references count="2">
          <reference field="4294967294" count="1" selected="0">
            <x v="0"/>
          </reference>
          <reference field="11" count="1" selected="0">
            <x v="360"/>
          </reference>
        </references>
      </pivotArea>
    </chartFormat>
    <chartFormat chart="0" format="6">
      <pivotArea type="data" outline="0" fieldPosition="0">
        <references count="2">
          <reference field="4294967294" count="1" selected="0">
            <x v="0"/>
          </reference>
          <reference field="11" count="1" selected="0">
            <x v="362"/>
          </reference>
        </references>
      </pivotArea>
    </chartFormat>
    <chartFormat chart="0" format="7">
      <pivotArea type="data" outline="0" fieldPosition="0">
        <references count="2">
          <reference field="4294967294" count="1" selected="0">
            <x v="0"/>
          </reference>
          <reference field="11" count="1" selected="0">
            <x v="364"/>
          </reference>
        </references>
      </pivotArea>
    </chartFormat>
    <chartFormat chart="0" format="8">
      <pivotArea type="data" outline="0" fieldPosition="0">
        <references count="2">
          <reference field="4294967294" count="1" selected="0">
            <x v="0"/>
          </reference>
          <reference field="11" count="1" selected="0">
            <x v="316"/>
          </reference>
        </references>
      </pivotArea>
    </chartFormat>
    <chartFormat chart="0" format="9">
      <pivotArea type="data" outline="0" fieldPosition="0">
        <references count="2">
          <reference field="4294967294" count="1" selected="0">
            <x v="0"/>
          </reference>
          <reference field="11" count="1" selected="0">
            <x v="317"/>
          </reference>
        </references>
      </pivotArea>
    </chartFormat>
    <chartFormat chart="0" format="10">
      <pivotArea type="data" outline="0" fieldPosition="0">
        <references count="2">
          <reference field="4294967294" count="1" selected="0">
            <x v="0"/>
          </reference>
          <reference field="11" count="1" selected="0">
            <x v="323"/>
          </reference>
        </references>
      </pivotArea>
    </chartFormat>
    <chartFormat chart="0" format="11">
      <pivotArea type="data" outline="0" fieldPosition="0">
        <references count="2">
          <reference field="4294967294" count="1" selected="0">
            <x v="0"/>
          </reference>
          <reference field="11" count="1" selected="0">
            <x v="326"/>
          </reference>
        </references>
      </pivotArea>
    </chartFormat>
    <chartFormat chart="3" format="19" series="1">
      <pivotArea type="data" outline="0" fieldPosition="0">
        <references count="1">
          <reference field="4294967294" count="1" selected="0">
            <x v="0"/>
          </reference>
        </references>
      </pivotArea>
    </chartFormat>
    <chartFormat chart="3" format="20">
      <pivotArea type="data" outline="0" fieldPosition="0">
        <references count="2">
          <reference field="4294967294" count="1" selected="0">
            <x v="0"/>
          </reference>
          <reference field="11" count="1" selected="0">
            <x v="356"/>
          </reference>
        </references>
      </pivotArea>
    </chartFormat>
    <chartFormat chart="3" format="21">
      <pivotArea type="data" outline="0" fieldPosition="0">
        <references count="2">
          <reference field="4294967294" count="1" selected="0">
            <x v="0"/>
          </reference>
          <reference field="11" count="1" selected="0">
            <x v="357"/>
          </reference>
        </references>
      </pivotArea>
    </chartFormat>
    <chartFormat chart="3" format="22">
      <pivotArea type="data" outline="0" fieldPosition="0">
        <references count="2">
          <reference field="4294967294" count="1" selected="0">
            <x v="0"/>
          </reference>
          <reference field="11" count="1" selected="0">
            <x v="359"/>
          </reference>
        </references>
      </pivotArea>
    </chartFormat>
    <chartFormat chart="3" format="23">
      <pivotArea type="data" outline="0" fieldPosition="0">
        <references count="2">
          <reference field="4294967294" count="1" selected="0">
            <x v="0"/>
          </reference>
          <reference field="11" count="1" selected="0">
            <x v="360"/>
          </reference>
        </references>
      </pivotArea>
    </chartFormat>
    <chartFormat chart="3" format="24">
      <pivotArea type="data" outline="0" fieldPosition="0">
        <references count="2">
          <reference field="4294967294" count="1" selected="0">
            <x v="0"/>
          </reference>
          <reference field="11" count="1" selected="0">
            <x v="362"/>
          </reference>
        </references>
      </pivotArea>
    </chartFormat>
    <chartFormat chart="3" format="25">
      <pivotArea type="data" outline="0" fieldPosition="0">
        <references count="2">
          <reference field="4294967294" count="1" selected="0">
            <x v="0"/>
          </reference>
          <reference field="11" count="1" selected="0">
            <x v="364"/>
          </reference>
        </references>
      </pivotArea>
    </chartFormat>
    <chartFormat chart="3" format="26">
      <pivotArea type="data" outline="0" fieldPosition="0">
        <references count="2">
          <reference field="4294967294" count="1" selected="0">
            <x v="0"/>
          </reference>
          <reference field="11" count="1" selected="0">
            <x v="319"/>
          </reference>
        </references>
      </pivotArea>
    </chartFormat>
    <chartFormat chart="0" format="12">
      <pivotArea type="data" outline="0" fieldPosition="0">
        <references count="2">
          <reference field="4294967294" count="1" selected="0">
            <x v="0"/>
          </reference>
          <reference field="11" count="1" selected="0">
            <x v="318"/>
          </reference>
        </references>
      </pivotArea>
    </chartFormat>
    <chartFormat chart="0" format="13">
      <pivotArea type="data" outline="0" fieldPosition="0">
        <references count="2">
          <reference field="4294967294" count="1" selected="0">
            <x v="0"/>
          </reference>
          <reference field="11" count="1" selected="0">
            <x v="322"/>
          </reference>
        </references>
      </pivotArea>
    </chartFormat>
    <chartFormat chart="0" format="14">
      <pivotArea type="data" outline="0" fieldPosition="0">
        <references count="2">
          <reference field="4294967294" count="1" selected="0">
            <x v="0"/>
          </reference>
          <reference field="11" count="1" selected="0">
            <x v="324"/>
          </reference>
        </references>
      </pivotArea>
    </chartFormat>
    <chartFormat chart="0" format="15">
      <pivotArea type="data" outline="0" fieldPosition="0">
        <references count="2">
          <reference field="4294967294" count="1" selected="0">
            <x v="0"/>
          </reference>
          <reference field="11" count="1" selected="0">
            <x v="328"/>
          </reference>
        </references>
      </pivotArea>
    </chartFormat>
    <chartFormat chart="3" format="27">
      <pivotArea type="data" outline="0" fieldPosition="0">
        <references count="2">
          <reference field="4294967294" count="1" selected="0">
            <x v="0"/>
          </reference>
          <reference field="11" count="1" selected="0">
            <x v="358"/>
          </reference>
        </references>
      </pivotArea>
    </chartFormat>
    <chartFormat chart="0" format="16">
      <pivotArea type="data" outline="0" fieldPosition="0">
        <references count="2">
          <reference field="4294967294" count="1" selected="0">
            <x v="0"/>
          </reference>
          <reference field="11" count="1" selected="0">
            <x v="355"/>
          </reference>
        </references>
      </pivotArea>
    </chartFormat>
    <chartFormat chart="0" format="17">
      <pivotArea type="data" outline="0" fieldPosition="0">
        <references count="2">
          <reference field="4294967294" count="1" selected="0">
            <x v="0"/>
          </reference>
          <reference field="11" count="1" selected="0">
            <x v="358"/>
          </reference>
        </references>
      </pivotArea>
    </chartFormat>
    <chartFormat chart="5" format="27" series="1">
      <pivotArea type="data" outline="0" fieldPosition="0">
        <references count="1">
          <reference field="4294967294" count="1" selected="0">
            <x v="0"/>
          </reference>
        </references>
      </pivotArea>
    </chartFormat>
    <chartFormat chart="5" format="28">
      <pivotArea type="data" outline="0" fieldPosition="0">
        <references count="2">
          <reference field="4294967294" count="1" selected="0">
            <x v="0"/>
          </reference>
          <reference field="11" count="1" selected="0">
            <x v="355"/>
          </reference>
        </references>
      </pivotArea>
    </chartFormat>
    <chartFormat chart="5" format="29">
      <pivotArea type="data" outline="0" fieldPosition="0">
        <references count="2">
          <reference field="4294967294" count="1" selected="0">
            <x v="0"/>
          </reference>
          <reference field="11" count="1" selected="0">
            <x v="356"/>
          </reference>
        </references>
      </pivotArea>
    </chartFormat>
    <chartFormat chart="5" format="30">
      <pivotArea type="data" outline="0" fieldPosition="0">
        <references count="2">
          <reference field="4294967294" count="1" selected="0">
            <x v="0"/>
          </reference>
          <reference field="11" count="1" selected="0">
            <x v="357"/>
          </reference>
        </references>
      </pivotArea>
    </chartFormat>
    <chartFormat chart="5" format="31">
      <pivotArea type="data" outline="0" fieldPosition="0">
        <references count="2">
          <reference field="4294967294" count="1" selected="0">
            <x v="0"/>
          </reference>
          <reference field="11" count="1" selected="0">
            <x v="358"/>
          </reference>
        </references>
      </pivotArea>
    </chartFormat>
    <chartFormat chart="5" format="32">
      <pivotArea type="data" outline="0" fieldPosition="0">
        <references count="2">
          <reference field="4294967294" count="1" selected="0">
            <x v="0"/>
          </reference>
          <reference field="11" count="1" selected="0">
            <x v="359"/>
          </reference>
        </references>
      </pivotArea>
    </chartFormat>
    <chartFormat chart="5" format="33">
      <pivotArea type="data" outline="0" fieldPosition="0">
        <references count="2">
          <reference field="4294967294" count="1" selected="0">
            <x v="0"/>
          </reference>
          <reference field="11" count="1" selected="0">
            <x v="360"/>
          </reference>
        </references>
      </pivotArea>
    </chartFormat>
    <chartFormat chart="5" format="34">
      <pivotArea type="data" outline="0" fieldPosition="0">
        <references count="2">
          <reference field="4294967294" count="1" selected="0">
            <x v="0"/>
          </reference>
          <reference field="11" count="1" selected="0">
            <x v="362"/>
          </reference>
        </references>
      </pivotArea>
    </chartFormat>
    <chartFormat chart="5" format="35">
      <pivotArea type="data" outline="0" fieldPosition="0">
        <references count="2">
          <reference field="4294967294" count="1" selected="0">
            <x v="0"/>
          </reference>
          <reference field="11" count="1" selected="0">
            <x v="364"/>
          </reference>
        </references>
      </pivotArea>
    </chartFormat>
  </chartFormats>
  <pivotTableStyleInfo name="PivotStyleLight16" showRowHeaders="1" showColHeaders="1" showRowStripes="0" showColStripes="0" showLastColumn="1"/>
  <filters count="1">
    <filter fld="11"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FDA037-8DED-4401-800B-BDA8866CCAC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E7" firstHeaderRow="1" firstDataRow="1" firstDataCol="1"/>
  <pivotFields count="12">
    <pivotField showAll="0"/>
    <pivotField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pivotField showAll="0"/>
    <pivotField numFmtId="165" showAll="0"/>
    <pivotField numFmtId="1" showAll="0"/>
    <pivotField dataField="1" numFmtId="164" showAll="0"/>
    <pivotField axis="axisRow" showAll="0">
      <items count="4">
        <item x="2"/>
        <item x="1"/>
        <item x="0"/>
        <item t="default"/>
      </items>
    </pivotField>
    <pivotField showAll="0">
      <items count="4">
        <item x="2"/>
        <item x="1"/>
        <item x="0"/>
        <item t="default"/>
      </items>
    </pivotField>
    <pivotField showAll="0"/>
    <pivotField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7"/>
  </rowFields>
  <rowItems count="4">
    <i>
      <x/>
    </i>
    <i>
      <x v="1"/>
    </i>
    <i>
      <x v="2"/>
    </i>
    <i t="grand">
      <x/>
    </i>
  </rowItems>
  <colItems count="1">
    <i/>
  </colItems>
  <dataFields count="1">
    <dataField name="Sum of Total Sale" fld="6" baseField="0" baseItem="0" numFmtId="164"/>
  </dataFields>
  <chartFormats count="12">
    <chartFormat chart="0"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7" count="1" selected="0">
            <x v="0"/>
          </reference>
        </references>
      </pivotArea>
    </chartFormat>
    <chartFormat chart="8" format="7">
      <pivotArea type="data" outline="0" fieldPosition="0">
        <references count="2">
          <reference field="4294967294" count="1" selected="0">
            <x v="0"/>
          </reference>
          <reference field="7" count="1" selected="0">
            <x v="1"/>
          </reference>
        </references>
      </pivotArea>
    </chartFormat>
    <chartFormat chart="8" format="8">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7" count="1" selected="0">
            <x v="0"/>
          </reference>
        </references>
      </pivotArea>
    </chartFormat>
    <chartFormat chart="10" format="10">
      <pivotArea type="data" outline="0" fieldPosition="0">
        <references count="2">
          <reference field="4294967294" count="1" selected="0">
            <x v="0"/>
          </reference>
          <reference field="7" count="1" selected="0">
            <x v="1"/>
          </reference>
        </references>
      </pivotArea>
    </chartFormat>
    <chartFormat chart="10"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D7CD55E-E26E-4B88-8C87-19C4738D0701}" sourceName="Month">
  <pivotTables>
    <pivotTable tabId="19" name="PivotTable4"/>
  </pivotTables>
  <data>
    <tabular pivotCacheId="1059107514">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43580142-230B-4B6E-B7E8-D623E9C1B1B8}" sourceName="Product">
  <pivotTables>
    <pivotTable tabId="19" name="PivotTable8"/>
  </pivotTables>
  <data>
    <tabular pivotCacheId="1059107514">
      <items count="5">
        <i x="1" s="1"/>
        <i x="3" s="1"/>
        <i x="4"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6A07A53-850A-440F-90E9-6F176EC5636A}" sourceName="City">
  <data>
    <tabular pivotCacheId="1059107514">
      <items count="5">
        <i x="3" s="1"/>
        <i x="2" s="1"/>
        <i x="0"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Type" xr10:uid="{AE4BED21-B211-4F5E-A9E0-8F3E7032B98E}" sourceName="Purchase Type">
  <data>
    <tabular pivotCacheId="1059107514">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66A9C49-EA1C-4BC3-A03C-3D7831A6FF92}" sourceName="Payment Method">
  <data>
    <tabular pivotCacheId="105910751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143F6BC0-A66F-410D-81E1-1D4C07CDD586}" cache="Slicer_Month" caption="Month" rowHeight="252000"/>
  <slicer name="Product 3" xr10:uid="{BF042501-3569-4F7D-BCB8-2E1B3FBABB95}" cache="Slicer_Product1" caption="Product" rowHeight="234950"/>
  <slicer name="City 2" xr10:uid="{F4B1EDDB-2DAE-4585-9E9E-9D5B480EBEDF}" cache="Slicer_City" caption="City" rowHeight="234950"/>
  <slicer name="Purchase Type 2" xr10:uid="{460480E3-3608-4F82-A9F4-1792BE206B62}" cache="Slicer_Purchase_Type" caption="Purchase Type" rowHeight="234950"/>
  <slicer name="Payment Method 2" xr10:uid="{5C5C1BD7-F8C7-4BE7-A4D7-403681AFFC83}" cache="Slicer_Payment_Method" caption="Payment Metho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0679652B-61E4-4D4C-BA31-C4C7F73BBEEF}" cache="Slicer_Month" caption="Month" rowHeight="252000"/>
  <slicer name="Product 2" xr10:uid="{AF69D2A0-472F-45E1-A836-78310D73737A}" cache="Slicer_Product1" caption="Product" rowHeight="234950"/>
  <slicer name="City 1" xr10:uid="{5BBA5E47-3718-400D-ADA0-823FBF565221}" cache="Slicer_City" caption="City" rowHeight="234950"/>
  <slicer name="Purchase Type 1" xr10:uid="{2BED9A5E-4B2A-4385-90EB-F3EA94DABDD8}" cache="Slicer_Purchase_Type" caption="Purchase Type" rowHeight="234950"/>
  <slicer name="Payment Method 1" xr10:uid="{A6C9AE4C-859C-4F03-8640-0F44468DF2F0}" cache="Slicer_Payment_Method" caption="Payment Metho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40666-3DE2-4CF0-8D53-46DC8898224B}">
  <dimension ref="A1:I255"/>
  <sheetViews>
    <sheetView workbookViewId="0">
      <selection activeCell="D1" sqref="D1"/>
    </sheetView>
  </sheetViews>
  <sheetFormatPr defaultRowHeight="14.4" x14ac:dyDescent="0.3"/>
  <cols>
    <col min="1" max="1" width="7.88671875" bestFit="1" customWidth="1"/>
    <col min="2" max="2" width="10.5546875" bestFit="1" customWidth="1"/>
    <col min="3" max="3" width="17.44140625" bestFit="1" customWidth="1"/>
    <col min="4" max="4" width="6" bestFit="1" customWidth="1"/>
    <col min="5" max="5" width="8" bestFit="1" customWidth="1"/>
    <col min="6" max="6" width="12.6640625" bestFit="1" customWidth="1"/>
    <col min="7" max="7" width="15.109375" bestFit="1" customWidth="1"/>
    <col min="8" max="8" width="14.6640625" bestFit="1" customWidth="1"/>
    <col min="9" max="9" width="7.109375" bestFit="1" customWidth="1"/>
  </cols>
  <sheetData>
    <row r="1" spans="1:9" x14ac:dyDescent="0.3">
      <c r="A1" t="s">
        <v>0</v>
      </c>
      <c r="B1" t="s">
        <v>1</v>
      </c>
      <c r="C1" t="s">
        <v>2</v>
      </c>
      <c r="D1" t="s">
        <v>3</v>
      </c>
      <c r="E1" t="s">
        <v>4</v>
      </c>
      <c r="F1" t="s">
        <v>5</v>
      </c>
      <c r="G1" t="s">
        <v>6</v>
      </c>
      <c r="H1" t="s">
        <v>7</v>
      </c>
      <c r="I1" t="s">
        <v>8</v>
      </c>
    </row>
    <row r="2" spans="1:9" x14ac:dyDescent="0.3">
      <c r="A2">
        <v>10452</v>
      </c>
      <c r="B2" s="1">
        <v>44872</v>
      </c>
      <c r="C2" t="s">
        <v>9</v>
      </c>
      <c r="D2">
        <v>3.49</v>
      </c>
      <c r="E2">
        <v>573.07000000000005</v>
      </c>
      <c r="F2" t="s">
        <v>10</v>
      </c>
      <c r="G2" t="s">
        <v>11</v>
      </c>
      <c r="H2" t="s">
        <v>12</v>
      </c>
      <c r="I2" t="s">
        <v>13</v>
      </c>
    </row>
    <row r="3" spans="1:9" x14ac:dyDescent="0.3">
      <c r="A3">
        <v>10453</v>
      </c>
      <c r="B3" s="1">
        <v>44872</v>
      </c>
      <c r="C3" t="s">
        <v>14</v>
      </c>
      <c r="D3">
        <v>2.95</v>
      </c>
      <c r="E3">
        <v>745.76</v>
      </c>
      <c r="F3" t="s">
        <v>10</v>
      </c>
      <c r="G3" t="s">
        <v>11</v>
      </c>
      <c r="H3" t="s">
        <v>15</v>
      </c>
      <c r="I3" t="s">
        <v>16</v>
      </c>
    </row>
    <row r="4" spans="1:9" x14ac:dyDescent="0.3">
      <c r="A4">
        <v>10454</v>
      </c>
      <c r="B4" s="1">
        <v>44872</v>
      </c>
      <c r="C4" t="s">
        <v>17</v>
      </c>
      <c r="D4">
        <v>4.99</v>
      </c>
      <c r="E4">
        <v>200.4</v>
      </c>
      <c r="F4" t="s">
        <v>18</v>
      </c>
      <c r="G4" t="s">
        <v>11</v>
      </c>
      <c r="H4" t="s">
        <v>19</v>
      </c>
      <c r="I4" t="s">
        <v>20</v>
      </c>
    </row>
    <row r="5" spans="1:9" x14ac:dyDescent="0.3">
      <c r="A5">
        <v>10455</v>
      </c>
      <c r="B5" s="1">
        <v>44873</v>
      </c>
      <c r="C5" t="s">
        <v>21</v>
      </c>
      <c r="D5">
        <v>12.99</v>
      </c>
      <c r="E5">
        <v>569.66999999999996</v>
      </c>
      <c r="F5" t="s">
        <v>18</v>
      </c>
      <c r="G5" t="s">
        <v>22</v>
      </c>
      <c r="H5" t="s">
        <v>23</v>
      </c>
      <c r="I5" t="s">
        <v>24</v>
      </c>
    </row>
    <row r="6" spans="1:9" x14ac:dyDescent="0.3">
      <c r="A6">
        <v>10456</v>
      </c>
      <c r="B6" s="1">
        <v>44873</v>
      </c>
      <c r="C6" t="s">
        <v>25</v>
      </c>
      <c r="D6">
        <v>9.9499999999999993</v>
      </c>
      <c r="E6">
        <v>201.01</v>
      </c>
      <c r="F6" t="s">
        <v>18</v>
      </c>
      <c r="G6" t="s">
        <v>22</v>
      </c>
      <c r="H6" t="s">
        <v>23</v>
      </c>
      <c r="I6" t="s">
        <v>24</v>
      </c>
    </row>
    <row r="7" spans="1:9" x14ac:dyDescent="0.3">
      <c r="A7">
        <v>10457</v>
      </c>
      <c r="B7" s="1">
        <v>44873</v>
      </c>
      <c r="C7" t="s">
        <v>9</v>
      </c>
      <c r="D7">
        <v>3.49</v>
      </c>
      <c r="E7">
        <v>573.07000000000005</v>
      </c>
      <c r="F7" t="s">
        <v>18</v>
      </c>
      <c r="G7" t="s">
        <v>22</v>
      </c>
      <c r="H7" t="s">
        <v>26</v>
      </c>
      <c r="I7" t="s">
        <v>27</v>
      </c>
    </row>
    <row r="8" spans="1:9" x14ac:dyDescent="0.3">
      <c r="A8">
        <v>10459</v>
      </c>
      <c r="B8" s="1">
        <v>44873</v>
      </c>
      <c r="C8" t="s">
        <v>17</v>
      </c>
      <c r="D8">
        <v>4.99</v>
      </c>
      <c r="E8">
        <v>200.4</v>
      </c>
      <c r="F8" t="s">
        <v>18</v>
      </c>
      <c r="G8" t="s">
        <v>22</v>
      </c>
      <c r="H8" t="s">
        <v>23</v>
      </c>
      <c r="I8" t="s">
        <v>24</v>
      </c>
    </row>
    <row r="9" spans="1:9" x14ac:dyDescent="0.3">
      <c r="A9">
        <v>10460</v>
      </c>
      <c r="B9" s="1">
        <v>44874</v>
      </c>
      <c r="C9" t="s">
        <v>21</v>
      </c>
      <c r="D9">
        <v>12.99</v>
      </c>
      <c r="E9">
        <v>554.27</v>
      </c>
      <c r="F9" t="s">
        <v>18</v>
      </c>
      <c r="G9" t="s">
        <v>22</v>
      </c>
      <c r="H9" t="s">
        <v>28</v>
      </c>
      <c r="I9" t="s">
        <v>27</v>
      </c>
    </row>
    <row r="10" spans="1:9" x14ac:dyDescent="0.3">
      <c r="A10">
        <v>10461</v>
      </c>
      <c r="B10" s="1">
        <v>44874</v>
      </c>
      <c r="C10" t="s">
        <v>25</v>
      </c>
      <c r="D10">
        <v>9.9499999999999993</v>
      </c>
      <c r="E10">
        <v>201.01</v>
      </c>
      <c r="F10" t="s">
        <v>18</v>
      </c>
      <c r="G10" t="s">
        <v>22</v>
      </c>
      <c r="H10" t="s">
        <v>28</v>
      </c>
      <c r="I10" t="s">
        <v>27</v>
      </c>
    </row>
    <row r="11" spans="1:9" x14ac:dyDescent="0.3">
      <c r="A11">
        <v>10462</v>
      </c>
      <c r="B11" s="1">
        <v>44874</v>
      </c>
      <c r="C11" t="s">
        <v>9</v>
      </c>
      <c r="D11">
        <v>3.49</v>
      </c>
      <c r="E11">
        <v>573.07000000000005</v>
      </c>
      <c r="F11" t="s">
        <v>18</v>
      </c>
      <c r="G11" t="s">
        <v>22</v>
      </c>
      <c r="H11" t="s">
        <v>29</v>
      </c>
      <c r="I11" t="s">
        <v>27</v>
      </c>
    </row>
    <row r="12" spans="1:9" x14ac:dyDescent="0.3">
      <c r="A12">
        <v>10463</v>
      </c>
      <c r="B12" s="1">
        <v>44874</v>
      </c>
      <c r="C12" t="s">
        <v>14</v>
      </c>
      <c r="D12">
        <v>2.95</v>
      </c>
      <c r="E12">
        <v>677.97</v>
      </c>
      <c r="F12" t="s">
        <v>18</v>
      </c>
      <c r="G12" t="s">
        <v>22</v>
      </c>
      <c r="H12" t="s">
        <v>29</v>
      </c>
      <c r="I12" t="s">
        <v>27</v>
      </c>
    </row>
    <row r="13" spans="1:9" x14ac:dyDescent="0.3">
      <c r="A13">
        <v>10464</v>
      </c>
      <c r="B13" s="1">
        <v>44874</v>
      </c>
      <c r="C13" t="s">
        <v>17</v>
      </c>
      <c r="D13">
        <v>4.99</v>
      </c>
      <c r="E13">
        <v>200.4</v>
      </c>
      <c r="F13" t="s">
        <v>18</v>
      </c>
      <c r="G13" t="s">
        <v>22</v>
      </c>
      <c r="H13" t="s">
        <v>30</v>
      </c>
      <c r="I13" t="s">
        <v>27</v>
      </c>
    </row>
    <row r="14" spans="1:9" x14ac:dyDescent="0.3">
      <c r="A14">
        <v>10465</v>
      </c>
      <c r="B14" s="1">
        <v>44875</v>
      </c>
      <c r="C14" t="s">
        <v>21</v>
      </c>
      <c r="D14">
        <v>12.99</v>
      </c>
      <c r="E14">
        <v>554.27</v>
      </c>
      <c r="F14" t="s">
        <v>18</v>
      </c>
      <c r="G14" t="s">
        <v>22</v>
      </c>
      <c r="H14" t="s">
        <v>31</v>
      </c>
      <c r="I14" t="s">
        <v>16</v>
      </c>
    </row>
    <row r="15" spans="1:9" x14ac:dyDescent="0.3">
      <c r="A15">
        <v>10466</v>
      </c>
      <c r="B15" s="1">
        <v>44875</v>
      </c>
      <c r="C15" t="s">
        <v>25</v>
      </c>
      <c r="D15">
        <v>9.9499999999999993</v>
      </c>
      <c r="E15">
        <v>201.01</v>
      </c>
      <c r="F15" t="s">
        <v>18</v>
      </c>
      <c r="G15" t="s">
        <v>22</v>
      </c>
      <c r="H15" t="s">
        <v>31</v>
      </c>
      <c r="I15" t="s">
        <v>16</v>
      </c>
    </row>
    <row r="16" spans="1:9" x14ac:dyDescent="0.3">
      <c r="A16">
        <v>10467</v>
      </c>
      <c r="B16" s="1">
        <v>44875</v>
      </c>
      <c r="C16" t="s">
        <v>9</v>
      </c>
      <c r="D16">
        <v>3.49</v>
      </c>
      <c r="E16">
        <v>573.07000000000005</v>
      </c>
      <c r="F16" t="s">
        <v>18</v>
      </c>
      <c r="G16" t="s">
        <v>22</v>
      </c>
      <c r="H16" t="s">
        <v>31</v>
      </c>
      <c r="I16" t="s">
        <v>16</v>
      </c>
    </row>
    <row r="17" spans="1:9" x14ac:dyDescent="0.3">
      <c r="A17">
        <v>10468</v>
      </c>
      <c r="B17" s="1">
        <v>44875</v>
      </c>
      <c r="C17" t="s">
        <v>14</v>
      </c>
      <c r="D17">
        <v>2.95</v>
      </c>
      <c r="E17">
        <v>677.97</v>
      </c>
      <c r="F17" t="s">
        <v>18</v>
      </c>
      <c r="G17" t="s">
        <v>22</v>
      </c>
      <c r="H17" t="s">
        <v>15</v>
      </c>
      <c r="I17" t="s">
        <v>16</v>
      </c>
    </row>
    <row r="18" spans="1:9" x14ac:dyDescent="0.3">
      <c r="A18">
        <v>10470</v>
      </c>
      <c r="B18" s="1">
        <v>44876</v>
      </c>
      <c r="C18" t="s">
        <v>21</v>
      </c>
      <c r="D18">
        <v>12.99</v>
      </c>
      <c r="E18">
        <v>554.27</v>
      </c>
      <c r="F18" t="s">
        <v>18</v>
      </c>
      <c r="G18" t="s">
        <v>22</v>
      </c>
      <c r="H18" t="s">
        <v>15</v>
      </c>
      <c r="I18" t="s">
        <v>16</v>
      </c>
    </row>
    <row r="19" spans="1:9" x14ac:dyDescent="0.3">
      <c r="A19">
        <v>10471</v>
      </c>
      <c r="B19" s="1">
        <v>44876</v>
      </c>
      <c r="C19" t="s">
        <v>25</v>
      </c>
      <c r="D19">
        <v>9.9499999999999993</v>
      </c>
      <c r="E19">
        <v>201.01</v>
      </c>
      <c r="F19" t="s">
        <v>18</v>
      </c>
      <c r="G19" t="s">
        <v>22</v>
      </c>
      <c r="H19" t="s">
        <v>15</v>
      </c>
      <c r="I19" t="s">
        <v>16</v>
      </c>
    </row>
    <row r="20" spans="1:9" x14ac:dyDescent="0.3">
      <c r="A20">
        <v>10472</v>
      </c>
      <c r="B20" s="1">
        <v>44876</v>
      </c>
      <c r="C20" t="s">
        <v>9</v>
      </c>
      <c r="D20">
        <v>3.49</v>
      </c>
      <c r="E20">
        <v>630.37</v>
      </c>
      <c r="F20" t="s">
        <v>18</v>
      </c>
      <c r="G20" t="s">
        <v>22</v>
      </c>
      <c r="H20" t="s">
        <v>32</v>
      </c>
      <c r="I20" t="s">
        <v>16</v>
      </c>
    </row>
    <row r="21" spans="1:9" x14ac:dyDescent="0.3">
      <c r="A21">
        <v>10473</v>
      </c>
      <c r="B21" s="1">
        <v>44876</v>
      </c>
      <c r="C21" t="s">
        <v>14</v>
      </c>
      <c r="D21">
        <v>2.95</v>
      </c>
      <c r="E21">
        <v>677.97</v>
      </c>
      <c r="F21" t="s">
        <v>18</v>
      </c>
      <c r="G21" t="s">
        <v>22</v>
      </c>
      <c r="H21" t="s">
        <v>15</v>
      </c>
      <c r="I21" t="s">
        <v>16</v>
      </c>
    </row>
    <row r="22" spans="1:9" x14ac:dyDescent="0.3">
      <c r="A22">
        <v>10474</v>
      </c>
      <c r="B22" s="1">
        <v>44876</v>
      </c>
      <c r="C22" t="s">
        <v>17</v>
      </c>
      <c r="D22">
        <v>4.99</v>
      </c>
      <c r="E22">
        <v>200.4</v>
      </c>
      <c r="F22" t="s">
        <v>18</v>
      </c>
      <c r="G22" t="s">
        <v>22</v>
      </c>
      <c r="H22" t="s">
        <v>15</v>
      </c>
      <c r="I22" t="s">
        <v>16</v>
      </c>
    </row>
    <row r="23" spans="1:9" x14ac:dyDescent="0.3">
      <c r="A23">
        <v>10475</v>
      </c>
      <c r="B23" s="1">
        <v>44877</v>
      </c>
      <c r="C23" t="s">
        <v>21</v>
      </c>
      <c r="D23">
        <v>12.99</v>
      </c>
      <c r="E23">
        <v>523.48</v>
      </c>
      <c r="F23" t="s">
        <v>18</v>
      </c>
      <c r="G23" t="s">
        <v>22</v>
      </c>
      <c r="H23" t="s">
        <v>15</v>
      </c>
      <c r="I23" t="s">
        <v>16</v>
      </c>
    </row>
    <row r="24" spans="1:9" x14ac:dyDescent="0.3">
      <c r="A24">
        <v>10476</v>
      </c>
      <c r="B24" s="1">
        <v>44877</v>
      </c>
      <c r="C24" t="s">
        <v>25</v>
      </c>
      <c r="D24">
        <v>9.9499999999999993</v>
      </c>
      <c r="E24">
        <v>201.01</v>
      </c>
      <c r="F24" t="s">
        <v>18</v>
      </c>
      <c r="G24" t="s">
        <v>22</v>
      </c>
      <c r="H24" t="s">
        <v>31</v>
      </c>
      <c r="I24" t="s">
        <v>16</v>
      </c>
    </row>
    <row r="25" spans="1:9" x14ac:dyDescent="0.3">
      <c r="A25">
        <v>10477</v>
      </c>
      <c r="B25" s="1">
        <v>44877</v>
      </c>
      <c r="C25" t="s">
        <v>9</v>
      </c>
      <c r="D25">
        <v>3.49</v>
      </c>
      <c r="E25">
        <v>630.37</v>
      </c>
      <c r="F25" t="s">
        <v>18</v>
      </c>
      <c r="G25" t="s">
        <v>22</v>
      </c>
      <c r="H25" t="s">
        <v>33</v>
      </c>
      <c r="I25" t="s">
        <v>16</v>
      </c>
    </row>
    <row r="26" spans="1:9" x14ac:dyDescent="0.3">
      <c r="A26">
        <v>10478</v>
      </c>
      <c r="B26" s="1">
        <v>44877</v>
      </c>
      <c r="C26" t="s">
        <v>14</v>
      </c>
      <c r="D26">
        <v>2.95</v>
      </c>
      <c r="E26">
        <v>677.97</v>
      </c>
      <c r="F26" t="s">
        <v>18</v>
      </c>
      <c r="G26" t="s">
        <v>22</v>
      </c>
      <c r="H26" t="s">
        <v>31</v>
      </c>
      <c r="I26" t="s">
        <v>16</v>
      </c>
    </row>
    <row r="27" spans="1:9" x14ac:dyDescent="0.3">
      <c r="A27">
        <v>10479</v>
      </c>
      <c r="B27" s="1">
        <v>44877</v>
      </c>
      <c r="C27" t="s">
        <v>17</v>
      </c>
      <c r="D27">
        <v>4.99</v>
      </c>
      <c r="E27">
        <v>200.4</v>
      </c>
      <c r="F27" t="s">
        <v>18</v>
      </c>
      <c r="G27" t="s">
        <v>22</v>
      </c>
      <c r="H27" t="s">
        <v>34</v>
      </c>
      <c r="I27" t="s">
        <v>16</v>
      </c>
    </row>
    <row r="28" spans="1:9" x14ac:dyDescent="0.3">
      <c r="A28">
        <v>10480</v>
      </c>
      <c r="B28" s="1">
        <v>44878</v>
      </c>
      <c r="C28" t="s">
        <v>21</v>
      </c>
      <c r="D28">
        <v>12.99</v>
      </c>
      <c r="E28">
        <v>508.08</v>
      </c>
      <c r="F28" t="s">
        <v>18</v>
      </c>
      <c r="G28" t="s">
        <v>22</v>
      </c>
      <c r="H28" t="s">
        <v>31</v>
      </c>
      <c r="I28" t="s">
        <v>16</v>
      </c>
    </row>
    <row r="29" spans="1:9" x14ac:dyDescent="0.3">
      <c r="A29">
        <v>10481</v>
      </c>
      <c r="B29" s="1">
        <v>44878</v>
      </c>
      <c r="C29" t="s">
        <v>25</v>
      </c>
      <c r="D29">
        <v>9.9499999999999993</v>
      </c>
      <c r="E29">
        <v>201.01</v>
      </c>
      <c r="F29" t="s">
        <v>18</v>
      </c>
      <c r="G29" t="s">
        <v>22</v>
      </c>
      <c r="H29" t="s">
        <v>31</v>
      </c>
      <c r="I29" t="s">
        <v>16</v>
      </c>
    </row>
    <row r="30" spans="1:9" x14ac:dyDescent="0.3">
      <c r="A30">
        <v>10482</v>
      </c>
      <c r="B30" s="1">
        <v>44878</v>
      </c>
      <c r="C30" t="s">
        <v>9</v>
      </c>
      <c r="D30">
        <v>25.5</v>
      </c>
      <c r="E30">
        <v>630.37</v>
      </c>
      <c r="F30" t="s">
        <v>18</v>
      </c>
      <c r="G30" t="s">
        <v>22</v>
      </c>
      <c r="H30" t="s">
        <v>35</v>
      </c>
      <c r="I30" t="s">
        <v>20</v>
      </c>
    </row>
    <row r="31" spans="1:9" x14ac:dyDescent="0.3">
      <c r="A31">
        <v>10486</v>
      </c>
      <c r="B31" s="1">
        <v>44879</v>
      </c>
      <c r="C31" t="s">
        <v>25</v>
      </c>
      <c r="D31">
        <v>29.05</v>
      </c>
      <c r="E31">
        <v>201.01</v>
      </c>
      <c r="F31" t="s">
        <v>18</v>
      </c>
      <c r="G31" t="s">
        <v>22</v>
      </c>
      <c r="H31" t="s">
        <v>19</v>
      </c>
      <c r="I31" t="s">
        <v>20</v>
      </c>
    </row>
    <row r="32" spans="1:9" x14ac:dyDescent="0.3">
      <c r="A32">
        <v>10487</v>
      </c>
      <c r="B32" s="1">
        <v>44879</v>
      </c>
      <c r="C32" t="s">
        <v>9</v>
      </c>
      <c r="D32">
        <v>3.49</v>
      </c>
      <c r="E32">
        <v>630.37</v>
      </c>
      <c r="F32" t="s">
        <v>18</v>
      </c>
      <c r="G32" t="s">
        <v>22</v>
      </c>
      <c r="H32" t="s">
        <v>35</v>
      </c>
      <c r="I32" t="s">
        <v>20</v>
      </c>
    </row>
    <row r="33" spans="1:9" x14ac:dyDescent="0.3">
      <c r="A33">
        <v>10488</v>
      </c>
      <c r="B33" s="1">
        <v>44879</v>
      </c>
      <c r="C33" t="s">
        <v>14</v>
      </c>
      <c r="D33">
        <v>2.95</v>
      </c>
      <c r="E33">
        <v>677.97</v>
      </c>
      <c r="F33" t="s">
        <v>18</v>
      </c>
      <c r="G33" t="s">
        <v>22</v>
      </c>
      <c r="H33" t="s">
        <v>35</v>
      </c>
      <c r="I33" t="s">
        <v>20</v>
      </c>
    </row>
    <row r="34" spans="1:9" x14ac:dyDescent="0.3">
      <c r="A34">
        <v>10489</v>
      </c>
      <c r="B34" s="1">
        <v>44879</v>
      </c>
      <c r="C34" t="s">
        <v>17</v>
      </c>
      <c r="D34">
        <v>4.99</v>
      </c>
      <c r="E34">
        <v>200.4</v>
      </c>
      <c r="F34" t="s">
        <v>18</v>
      </c>
      <c r="G34" t="s">
        <v>22</v>
      </c>
      <c r="H34" t="s">
        <v>31</v>
      </c>
      <c r="I34" t="s">
        <v>16</v>
      </c>
    </row>
    <row r="35" spans="1:9" x14ac:dyDescent="0.3">
      <c r="A35">
        <v>10490</v>
      </c>
      <c r="B35" s="1">
        <v>44880</v>
      </c>
      <c r="C35" t="s">
        <v>21</v>
      </c>
      <c r="D35">
        <v>12.99</v>
      </c>
      <c r="E35">
        <v>508.08</v>
      </c>
      <c r="F35" t="s">
        <v>18</v>
      </c>
      <c r="G35" t="s">
        <v>22</v>
      </c>
      <c r="H35" t="s">
        <v>31</v>
      </c>
      <c r="I35" t="s">
        <v>16</v>
      </c>
    </row>
    <row r="36" spans="1:9" x14ac:dyDescent="0.3">
      <c r="A36">
        <v>10491</v>
      </c>
      <c r="B36" s="1">
        <v>44880</v>
      </c>
      <c r="C36" t="s">
        <v>25</v>
      </c>
      <c r="D36">
        <v>9.9499999999999993</v>
      </c>
      <c r="E36">
        <v>201.01</v>
      </c>
      <c r="F36" t="s">
        <v>18</v>
      </c>
      <c r="G36" t="s">
        <v>22</v>
      </c>
      <c r="H36" t="s">
        <v>31</v>
      </c>
      <c r="I36" t="s">
        <v>16</v>
      </c>
    </row>
    <row r="37" spans="1:9" x14ac:dyDescent="0.3">
      <c r="A37">
        <v>10492</v>
      </c>
      <c r="B37" s="1">
        <v>44880</v>
      </c>
      <c r="C37" t="s">
        <v>9</v>
      </c>
      <c r="D37">
        <v>3.49</v>
      </c>
      <c r="E37">
        <v>573.07000000000005</v>
      </c>
      <c r="F37" t="s">
        <v>18</v>
      </c>
      <c r="G37" t="s">
        <v>22</v>
      </c>
      <c r="H37" t="s">
        <v>31</v>
      </c>
      <c r="I37" t="s">
        <v>16</v>
      </c>
    </row>
    <row r="38" spans="1:9" x14ac:dyDescent="0.3">
      <c r="A38">
        <v>10493</v>
      </c>
      <c r="B38" s="1">
        <v>44880</v>
      </c>
      <c r="C38" t="s">
        <v>14</v>
      </c>
      <c r="D38">
        <v>2.95</v>
      </c>
      <c r="E38">
        <v>677.97</v>
      </c>
      <c r="F38" t="s">
        <v>18</v>
      </c>
      <c r="G38" t="s">
        <v>22</v>
      </c>
      <c r="H38" t="s">
        <v>31</v>
      </c>
      <c r="I38" t="s">
        <v>16</v>
      </c>
    </row>
    <row r="39" spans="1:9" x14ac:dyDescent="0.3">
      <c r="A39">
        <v>10494</v>
      </c>
      <c r="B39" s="1">
        <v>44880</v>
      </c>
      <c r="C39" t="s">
        <v>17</v>
      </c>
      <c r="D39">
        <v>4.99</v>
      </c>
      <c r="E39">
        <v>200.4</v>
      </c>
      <c r="F39" t="s">
        <v>18</v>
      </c>
      <c r="G39" t="s">
        <v>22</v>
      </c>
      <c r="H39" t="s">
        <v>31</v>
      </c>
      <c r="I39" t="s">
        <v>16</v>
      </c>
    </row>
    <row r="40" spans="1:9" x14ac:dyDescent="0.3">
      <c r="A40">
        <v>10495</v>
      </c>
      <c r="B40" s="1">
        <v>44881</v>
      </c>
      <c r="C40" t="s">
        <v>21</v>
      </c>
      <c r="D40">
        <v>12.99</v>
      </c>
      <c r="E40">
        <v>508.08</v>
      </c>
      <c r="F40" t="s">
        <v>18</v>
      </c>
      <c r="G40" t="s">
        <v>22</v>
      </c>
      <c r="H40" t="s">
        <v>31</v>
      </c>
      <c r="I40" t="s">
        <v>16</v>
      </c>
    </row>
    <row r="41" spans="1:9" x14ac:dyDescent="0.3">
      <c r="A41">
        <v>10496</v>
      </c>
      <c r="B41" s="1">
        <v>44881</v>
      </c>
      <c r="C41" t="s">
        <v>25</v>
      </c>
      <c r="D41">
        <v>9.9499999999999993</v>
      </c>
      <c r="E41">
        <v>201.01</v>
      </c>
      <c r="F41" t="s">
        <v>18</v>
      </c>
      <c r="G41" t="s">
        <v>22</v>
      </c>
      <c r="H41" t="s">
        <v>31</v>
      </c>
      <c r="I41" t="s">
        <v>16</v>
      </c>
    </row>
    <row r="42" spans="1:9" x14ac:dyDescent="0.3">
      <c r="A42">
        <v>10497</v>
      </c>
      <c r="B42" s="1">
        <v>44881</v>
      </c>
      <c r="C42" t="s">
        <v>9</v>
      </c>
      <c r="D42">
        <v>3.49</v>
      </c>
      <c r="E42">
        <v>573.07000000000005</v>
      </c>
      <c r="F42" t="s">
        <v>18</v>
      </c>
      <c r="G42" t="s">
        <v>22</v>
      </c>
      <c r="H42" t="s">
        <v>31</v>
      </c>
      <c r="I42" t="s">
        <v>16</v>
      </c>
    </row>
    <row r="43" spans="1:9" x14ac:dyDescent="0.3">
      <c r="A43">
        <v>10498</v>
      </c>
      <c r="B43" s="1">
        <v>44881</v>
      </c>
      <c r="C43" t="s">
        <v>14</v>
      </c>
      <c r="D43">
        <v>2.95</v>
      </c>
      <c r="E43">
        <v>677.97</v>
      </c>
      <c r="F43" t="s">
        <v>36</v>
      </c>
      <c r="G43" t="s">
        <v>22</v>
      </c>
      <c r="H43" t="s">
        <v>31</v>
      </c>
      <c r="I43" t="s">
        <v>16</v>
      </c>
    </row>
    <row r="44" spans="1:9" x14ac:dyDescent="0.3">
      <c r="A44">
        <v>10499</v>
      </c>
      <c r="B44" s="1">
        <v>44881</v>
      </c>
      <c r="C44" t="s">
        <v>17</v>
      </c>
      <c r="D44">
        <v>4.99</v>
      </c>
      <c r="E44">
        <v>200.4</v>
      </c>
      <c r="F44" t="s">
        <v>36</v>
      </c>
      <c r="G44" t="s">
        <v>22</v>
      </c>
      <c r="H44" t="s">
        <v>31</v>
      </c>
      <c r="I44" t="s">
        <v>16</v>
      </c>
    </row>
    <row r="45" spans="1:9" x14ac:dyDescent="0.3">
      <c r="A45">
        <v>10500</v>
      </c>
      <c r="B45" s="1">
        <v>44882</v>
      </c>
      <c r="C45" t="s">
        <v>21</v>
      </c>
      <c r="D45">
        <v>12.99</v>
      </c>
      <c r="E45">
        <v>523.48</v>
      </c>
      <c r="F45" t="s">
        <v>36</v>
      </c>
      <c r="G45" t="s">
        <v>22</v>
      </c>
      <c r="H45" t="s">
        <v>31</v>
      </c>
      <c r="I45" t="s">
        <v>16</v>
      </c>
    </row>
    <row r="46" spans="1:9" x14ac:dyDescent="0.3">
      <c r="A46">
        <v>10501</v>
      </c>
      <c r="B46" s="1">
        <v>44882</v>
      </c>
      <c r="C46" t="s">
        <v>25</v>
      </c>
      <c r="D46">
        <v>9.9499999999999993</v>
      </c>
      <c r="E46">
        <v>201.01</v>
      </c>
      <c r="F46" t="s">
        <v>36</v>
      </c>
      <c r="G46" t="s">
        <v>22</v>
      </c>
      <c r="H46" t="s">
        <v>31</v>
      </c>
      <c r="I46" t="s">
        <v>16</v>
      </c>
    </row>
    <row r="47" spans="1:9" x14ac:dyDescent="0.3">
      <c r="A47">
        <v>10502</v>
      </c>
      <c r="B47" s="1">
        <v>44882</v>
      </c>
      <c r="C47" t="s">
        <v>9</v>
      </c>
      <c r="D47">
        <v>3.49</v>
      </c>
      <c r="E47">
        <v>630.37</v>
      </c>
      <c r="F47" t="s">
        <v>36</v>
      </c>
      <c r="G47" t="s">
        <v>22</v>
      </c>
      <c r="H47" t="s">
        <v>31</v>
      </c>
      <c r="I47" t="s">
        <v>16</v>
      </c>
    </row>
    <row r="48" spans="1:9" x14ac:dyDescent="0.3">
      <c r="A48">
        <v>10503</v>
      </c>
      <c r="B48" s="1">
        <v>44882</v>
      </c>
      <c r="C48" t="s">
        <v>14</v>
      </c>
      <c r="D48">
        <v>2.95</v>
      </c>
      <c r="E48">
        <v>677.97</v>
      </c>
      <c r="F48" t="s">
        <v>36</v>
      </c>
      <c r="G48" t="s">
        <v>22</v>
      </c>
      <c r="H48" t="s">
        <v>31</v>
      </c>
      <c r="I48" t="s">
        <v>16</v>
      </c>
    </row>
    <row r="49" spans="1:9" x14ac:dyDescent="0.3">
      <c r="A49">
        <v>10504</v>
      </c>
      <c r="B49" s="1">
        <v>44882</v>
      </c>
      <c r="C49" t="s">
        <v>17</v>
      </c>
      <c r="D49">
        <v>4.99</v>
      </c>
      <c r="E49">
        <v>200.4</v>
      </c>
      <c r="F49" t="s">
        <v>36</v>
      </c>
      <c r="G49" t="s">
        <v>22</v>
      </c>
      <c r="H49" t="s">
        <v>31</v>
      </c>
      <c r="I49" t="s">
        <v>16</v>
      </c>
    </row>
    <row r="50" spans="1:9" x14ac:dyDescent="0.3">
      <c r="A50">
        <v>10505</v>
      </c>
      <c r="B50" s="1">
        <v>44883</v>
      </c>
      <c r="C50" t="s">
        <v>21</v>
      </c>
      <c r="D50">
        <v>12.99</v>
      </c>
      <c r="E50">
        <v>538.88</v>
      </c>
      <c r="F50" t="s">
        <v>36</v>
      </c>
      <c r="G50" t="s">
        <v>22</v>
      </c>
      <c r="H50" t="s">
        <v>31</v>
      </c>
      <c r="I50" t="s">
        <v>16</v>
      </c>
    </row>
    <row r="51" spans="1:9" x14ac:dyDescent="0.3">
      <c r="A51">
        <v>10506</v>
      </c>
      <c r="B51" s="1">
        <v>44883</v>
      </c>
      <c r="C51" t="s">
        <v>25</v>
      </c>
      <c r="D51">
        <v>9.9499999999999993</v>
      </c>
      <c r="E51">
        <v>201.01</v>
      </c>
      <c r="F51" t="s">
        <v>36</v>
      </c>
      <c r="G51" t="s">
        <v>22</v>
      </c>
      <c r="H51" t="s">
        <v>31</v>
      </c>
      <c r="I51" t="s">
        <v>16</v>
      </c>
    </row>
    <row r="52" spans="1:9" x14ac:dyDescent="0.3">
      <c r="A52">
        <v>10507</v>
      </c>
      <c r="B52" s="1">
        <v>44883</v>
      </c>
      <c r="C52" t="s">
        <v>9</v>
      </c>
      <c r="D52">
        <v>3.49</v>
      </c>
      <c r="E52">
        <v>687.68</v>
      </c>
      <c r="F52" t="s">
        <v>36</v>
      </c>
      <c r="G52" t="s">
        <v>22</v>
      </c>
      <c r="H52" t="s">
        <v>31</v>
      </c>
      <c r="I52" t="s">
        <v>16</v>
      </c>
    </row>
    <row r="53" spans="1:9" x14ac:dyDescent="0.3">
      <c r="A53">
        <v>10508</v>
      </c>
      <c r="B53" s="1">
        <v>44883</v>
      </c>
      <c r="C53" t="s">
        <v>14</v>
      </c>
      <c r="D53">
        <v>2.95</v>
      </c>
      <c r="E53">
        <v>677.97</v>
      </c>
      <c r="F53" t="s">
        <v>36</v>
      </c>
      <c r="G53" t="s">
        <v>22</v>
      </c>
      <c r="H53" t="s">
        <v>31</v>
      </c>
      <c r="I53" t="s">
        <v>16</v>
      </c>
    </row>
    <row r="54" spans="1:9" x14ac:dyDescent="0.3">
      <c r="A54">
        <v>10509</v>
      </c>
      <c r="B54" s="1">
        <v>44883</v>
      </c>
      <c r="C54" t="s">
        <v>17</v>
      </c>
      <c r="D54">
        <v>4.99</v>
      </c>
      <c r="E54">
        <v>200.4</v>
      </c>
      <c r="F54" t="s">
        <v>36</v>
      </c>
      <c r="G54" t="s">
        <v>22</v>
      </c>
      <c r="H54" t="s">
        <v>31</v>
      </c>
      <c r="I54" t="s">
        <v>16</v>
      </c>
    </row>
    <row r="55" spans="1:9" x14ac:dyDescent="0.3">
      <c r="A55">
        <v>10510</v>
      </c>
      <c r="B55" s="1">
        <v>44884</v>
      </c>
      <c r="C55" t="s">
        <v>21</v>
      </c>
      <c r="D55">
        <v>12.99</v>
      </c>
      <c r="E55">
        <v>508.08</v>
      </c>
      <c r="F55" t="s">
        <v>36</v>
      </c>
      <c r="G55" t="s">
        <v>22</v>
      </c>
      <c r="H55" t="s">
        <v>31</v>
      </c>
      <c r="I55" t="s">
        <v>16</v>
      </c>
    </row>
    <row r="56" spans="1:9" x14ac:dyDescent="0.3">
      <c r="A56">
        <v>10511</v>
      </c>
      <c r="B56" s="1">
        <v>44884</v>
      </c>
      <c r="C56" t="s">
        <v>25</v>
      </c>
      <c r="D56">
        <v>9.9499999999999993</v>
      </c>
      <c r="E56">
        <v>201.01</v>
      </c>
      <c r="F56" t="s">
        <v>36</v>
      </c>
      <c r="G56" t="s">
        <v>22</v>
      </c>
      <c r="H56" t="s">
        <v>35</v>
      </c>
      <c r="I56" t="s">
        <v>20</v>
      </c>
    </row>
    <row r="57" spans="1:9" x14ac:dyDescent="0.3">
      <c r="A57">
        <v>10512</v>
      </c>
      <c r="B57" s="1">
        <v>44884</v>
      </c>
      <c r="C57" t="s">
        <v>9</v>
      </c>
      <c r="D57">
        <v>3.49</v>
      </c>
      <c r="E57">
        <v>687.68</v>
      </c>
      <c r="F57" t="s">
        <v>36</v>
      </c>
      <c r="G57" t="s">
        <v>22</v>
      </c>
      <c r="H57" t="s">
        <v>35</v>
      </c>
      <c r="I57" t="s">
        <v>20</v>
      </c>
    </row>
    <row r="58" spans="1:9" x14ac:dyDescent="0.3">
      <c r="A58">
        <v>10513</v>
      </c>
      <c r="B58" s="1">
        <v>44884</v>
      </c>
      <c r="C58" t="s">
        <v>14</v>
      </c>
      <c r="D58">
        <v>2.95</v>
      </c>
      <c r="E58">
        <v>677.97</v>
      </c>
      <c r="F58" t="s">
        <v>36</v>
      </c>
      <c r="G58" t="s">
        <v>37</v>
      </c>
      <c r="H58" t="s">
        <v>35</v>
      </c>
      <c r="I58" t="s">
        <v>20</v>
      </c>
    </row>
    <row r="59" spans="1:9" x14ac:dyDescent="0.3">
      <c r="A59">
        <v>10514</v>
      </c>
      <c r="B59" s="1">
        <v>44884</v>
      </c>
      <c r="C59" t="s">
        <v>17</v>
      </c>
      <c r="D59">
        <v>4.99</v>
      </c>
      <c r="E59">
        <v>200.4</v>
      </c>
      <c r="F59" t="s">
        <v>36</v>
      </c>
      <c r="G59" t="s">
        <v>37</v>
      </c>
      <c r="H59" t="s">
        <v>35</v>
      </c>
      <c r="I59" t="s">
        <v>20</v>
      </c>
    </row>
    <row r="60" spans="1:9" x14ac:dyDescent="0.3">
      <c r="A60">
        <v>10515</v>
      </c>
      <c r="B60" s="1">
        <v>44885</v>
      </c>
      <c r="C60" t="s">
        <v>21</v>
      </c>
      <c r="D60">
        <v>12.99</v>
      </c>
      <c r="E60">
        <v>477.29</v>
      </c>
      <c r="F60" t="s">
        <v>36</v>
      </c>
      <c r="G60" t="s">
        <v>37</v>
      </c>
      <c r="H60" t="s">
        <v>35</v>
      </c>
      <c r="I60" t="s">
        <v>20</v>
      </c>
    </row>
    <row r="61" spans="1:9" x14ac:dyDescent="0.3">
      <c r="A61">
        <v>10516</v>
      </c>
      <c r="B61" s="1">
        <v>44885</v>
      </c>
      <c r="C61" t="s">
        <v>25</v>
      </c>
      <c r="D61">
        <v>9.9499999999999993</v>
      </c>
      <c r="E61">
        <v>201.01</v>
      </c>
      <c r="F61" t="s">
        <v>36</v>
      </c>
      <c r="G61" t="s">
        <v>37</v>
      </c>
      <c r="H61" t="s">
        <v>35</v>
      </c>
      <c r="I61" t="s">
        <v>20</v>
      </c>
    </row>
    <row r="62" spans="1:9" x14ac:dyDescent="0.3">
      <c r="A62">
        <v>10483</v>
      </c>
      <c r="B62" s="1">
        <v>44878</v>
      </c>
      <c r="C62" t="s">
        <v>14</v>
      </c>
      <c r="D62">
        <v>2.95</v>
      </c>
      <c r="E62">
        <v>677.97</v>
      </c>
      <c r="F62" t="s">
        <v>18</v>
      </c>
      <c r="G62" t="s">
        <v>22</v>
      </c>
      <c r="H62" t="s">
        <v>19</v>
      </c>
      <c r="I62" t="s">
        <v>20</v>
      </c>
    </row>
    <row r="63" spans="1:9" x14ac:dyDescent="0.3">
      <c r="A63">
        <v>10484</v>
      </c>
      <c r="B63" s="1">
        <v>44878</v>
      </c>
      <c r="C63" t="s">
        <v>17</v>
      </c>
      <c r="D63">
        <v>4.99</v>
      </c>
      <c r="E63">
        <v>200.4</v>
      </c>
      <c r="F63" t="s">
        <v>18</v>
      </c>
      <c r="G63" t="s">
        <v>22</v>
      </c>
      <c r="H63" t="s">
        <v>19</v>
      </c>
      <c r="I63" t="s">
        <v>20</v>
      </c>
    </row>
    <row r="64" spans="1:9" x14ac:dyDescent="0.3">
      <c r="A64">
        <v>10485</v>
      </c>
      <c r="B64" s="1">
        <v>44879</v>
      </c>
      <c r="C64" t="s">
        <v>21</v>
      </c>
      <c r="D64">
        <v>12.99</v>
      </c>
      <c r="E64">
        <v>523.48</v>
      </c>
      <c r="F64" t="s">
        <v>18</v>
      </c>
      <c r="G64" t="s">
        <v>22</v>
      </c>
      <c r="H64" t="s">
        <v>19</v>
      </c>
      <c r="I64" t="s">
        <v>20</v>
      </c>
    </row>
    <row r="65" spans="1:9" x14ac:dyDescent="0.3">
      <c r="A65">
        <v>10520</v>
      </c>
      <c r="B65" s="1">
        <v>44886</v>
      </c>
      <c r="C65" t="s">
        <v>21</v>
      </c>
      <c r="D65">
        <v>12.99</v>
      </c>
      <c r="E65">
        <v>492.69</v>
      </c>
      <c r="F65" t="s">
        <v>36</v>
      </c>
      <c r="G65" t="s">
        <v>37</v>
      </c>
      <c r="H65" t="s">
        <v>28</v>
      </c>
      <c r="I65" t="s">
        <v>27</v>
      </c>
    </row>
    <row r="66" spans="1:9" x14ac:dyDescent="0.3">
      <c r="A66">
        <v>10521</v>
      </c>
      <c r="B66" s="1">
        <v>44886</v>
      </c>
      <c r="C66" t="s">
        <v>25</v>
      </c>
      <c r="D66">
        <v>9.9499999999999993</v>
      </c>
      <c r="E66">
        <v>201.01</v>
      </c>
      <c r="F66" t="s">
        <v>36</v>
      </c>
      <c r="G66" t="s">
        <v>37</v>
      </c>
      <c r="H66" t="s">
        <v>28</v>
      </c>
      <c r="I66" t="s">
        <v>27</v>
      </c>
    </row>
    <row r="67" spans="1:9" x14ac:dyDescent="0.3">
      <c r="A67">
        <v>10522</v>
      </c>
      <c r="B67" s="1">
        <v>44886</v>
      </c>
      <c r="C67" t="s">
        <v>9</v>
      </c>
      <c r="D67">
        <v>3.49</v>
      </c>
      <c r="E67">
        <v>687.68</v>
      </c>
      <c r="F67" t="s">
        <v>36</v>
      </c>
      <c r="G67" t="s">
        <v>37</v>
      </c>
      <c r="H67" t="s">
        <v>28</v>
      </c>
      <c r="I67" t="s">
        <v>27</v>
      </c>
    </row>
    <row r="68" spans="1:9" x14ac:dyDescent="0.3">
      <c r="A68">
        <v>10523</v>
      </c>
      <c r="B68" s="1">
        <v>44886</v>
      </c>
      <c r="C68" t="s">
        <v>14</v>
      </c>
      <c r="D68">
        <v>2.95</v>
      </c>
      <c r="E68">
        <v>745.76</v>
      </c>
      <c r="F68" t="s">
        <v>36</v>
      </c>
      <c r="G68" t="s">
        <v>37</v>
      </c>
      <c r="H68" t="s">
        <v>28</v>
      </c>
      <c r="I68" t="s">
        <v>27</v>
      </c>
    </row>
    <row r="69" spans="1:9" x14ac:dyDescent="0.3">
      <c r="A69">
        <v>10524</v>
      </c>
      <c r="B69" s="1">
        <v>44886</v>
      </c>
      <c r="C69" t="s">
        <v>17</v>
      </c>
      <c r="D69">
        <v>4.99</v>
      </c>
      <c r="E69">
        <v>200.4</v>
      </c>
      <c r="F69" t="s">
        <v>36</v>
      </c>
      <c r="G69" t="s">
        <v>37</v>
      </c>
      <c r="H69" t="s">
        <v>28</v>
      </c>
      <c r="I69" t="s">
        <v>27</v>
      </c>
    </row>
    <row r="70" spans="1:9" x14ac:dyDescent="0.3">
      <c r="A70">
        <v>10525</v>
      </c>
      <c r="B70" s="1">
        <v>44887</v>
      </c>
      <c r="C70" t="s">
        <v>21</v>
      </c>
      <c r="D70">
        <v>12.99</v>
      </c>
      <c r="E70">
        <v>461.89</v>
      </c>
      <c r="F70" t="s">
        <v>36</v>
      </c>
      <c r="G70" t="s">
        <v>37</v>
      </c>
      <c r="H70" t="s">
        <v>28</v>
      </c>
      <c r="I70" t="s">
        <v>27</v>
      </c>
    </row>
    <row r="71" spans="1:9" x14ac:dyDescent="0.3">
      <c r="A71">
        <v>10526</v>
      </c>
      <c r="B71" s="1">
        <v>44887</v>
      </c>
      <c r="C71" t="s">
        <v>25</v>
      </c>
      <c r="D71">
        <v>9.9499999999999993</v>
      </c>
      <c r="E71">
        <v>201.01</v>
      </c>
      <c r="F71" t="s">
        <v>36</v>
      </c>
      <c r="G71" t="s">
        <v>37</v>
      </c>
      <c r="H71" t="s">
        <v>28</v>
      </c>
      <c r="I71" t="s">
        <v>27</v>
      </c>
    </row>
    <row r="72" spans="1:9" x14ac:dyDescent="0.3">
      <c r="A72">
        <v>10527</v>
      </c>
      <c r="B72" s="1">
        <v>44887</v>
      </c>
      <c r="C72" t="s">
        <v>9</v>
      </c>
      <c r="D72">
        <v>3.49</v>
      </c>
      <c r="E72">
        <v>687.68</v>
      </c>
      <c r="F72" t="s">
        <v>36</v>
      </c>
      <c r="G72" t="s">
        <v>37</v>
      </c>
      <c r="H72" t="s">
        <v>28</v>
      </c>
      <c r="I72" t="s">
        <v>27</v>
      </c>
    </row>
    <row r="73" spans="1:9" x14ac:dyDescent="0.3">
      <c r="A73">
        <v>10528</v>
      </c>
      <c r="B73" s="1">
        <v>44887</v>
      </c>
      <c r="C73" t="s">
        <v>14</v>
      </c>
      <c r="D73">
        <v>2.95</v>
      </c>
      <c r="E73">
        <v>745.76</v>
      </c>
      <c r="F73" t="s">
        <v>36</v>
      </c>
      <c r="G73" t="s">
        <v>37</v>
      </c>
      <c r="H73" t="s">
        <v>28</v>
      </c>
      <c r="I73" t="s">
        <v>27</v>
      </c>
    </row>
    <row r="74" spans="1:9" x14ac:dyDescent="0.3">
      <c r="A74">
        <v>10529</v>
      </c>
      <c r="B74" s="1">
        <v>44887</v>
      </c>
      <c r="C74" t="s">
        <v>17</v>
      </c>
      <c r="D74">
        <v>4.99</v>
      </c>
      <c r="E74">
        <v>200.4</v>
      </c>
      <c r="F74" t="s">
        <v>36</v>
      </c>
      <c r="G74" t="s">
        <v>37</v>
      </c>
      <c r="H74" t="s">
        <v>28</v>
      </c>
      <c r="I74" t="s">
        <v>27</v>
      </c>
    </row>
    <row r="75" spans="1:9" x14ac:dyDescent="0.3">
      <c r="A75">
        <v>10530</v>
      </c>
      <c r="B75" s="1">
        <v>44888</v>
      </c>
      <c r="C75" t="s">
        <v>21</v>
      </c>
      <c r="D75">
        <v>12.99</v>
      </c>
      <c r="E75">
        <v>477.29</v>
      </c>
      <c r="F75" t="s">
        <v>36</v>
      </c>
      <c r="G75" t="s">
        <v>37</v>
      </c>
      <c r="H75" t="s">
        <v>28</v>
      </c>
      <c r="I75" t="s">
        <v>27</v>
      </c>
    </row>
    <row r="76" spans="1:9" x14ac:dyDescent="0.3">
      <c r="A76">
        <v>10531</v>
      </c>
      <c r="B76" s="1">
        <v>44888</v>
      </c>
      <c r="C76" t="s">
        <v>25</v>
      </c>
      <c r="D76">
        <v>9.9499999999999993</v>
      </c>
      <c r="E76">
        <v>201.01</v>
      </c>
      <c r="F76" t="s">
        <v>36</v>
      </c>
      <c r="G76" t="s">
        <v>37</v>
      </c>
      <c r="H76" t="s">
        <v>28</v>
      </c>
      <c r="I76" t="s">
        <v>27</v>
      </c>
    </row>
    <row r="77" spans="1:9" x14ac:dyDescent="0.3">
      <c r="A77">
        <v>10532</v>
      </c>
      <c r="B77" s="1">
        <v>44888</v>
      </c>
      <c r="C77" t="s">
        <v>9</v>
      </c>
      <c r="D77">
        <v>3.49</v>
      </c>
      <c r="E77">
        <v>687.68</v>
      </c>
      <c r="F77" t="s">
        <v>36</v>
      </c>
      <c r="G77" t="s">
        <v>37</v>
      </c>
      <c r="H77" t="s">
        <v>35</v>
      </c>
      <c r="I77" t="s">
        <v>20</v>
      </c>
    </row>
    <row r="78" spans="1:9" x14ac:dyDescent="0.3">
      <c r="A78">
        <v>10533</v>
      </c>
      <c r="B78" s="1">
        <v>44888</v>
      </c>
      <c r="C78" t="s">
        <v>14</v>
      </c>
      <c r="D78">
        <v>2.95</v>
      </c>
      <c r="E78">
        <v>745.76</v>
      </c>
      <c r="F78" t="s">
        <v>36</v>
      </c>
      <c r="G78" t="s">
        <v>37</v>
      </c>
      <c r="H78" t="s">
        <v>35</v>
      </c>
      <c r="I78" t="s">
        <v>20</v>
      </c>
    </row>
    <row r="79" spans="1:9" x14ac:dyDescent="0.3">
      <c r="A79">
        <v>10534</v>
      </c>
      <c r="B79" s="1">
        <v>44888</v>
      </c>
      <c r="C79" t="s">
        <v>17</v>
      </c>
      <c r="D79">
        <v>4.99</v>
      </c>
      <c r="E79">
        <v>200.4</v>
      </c>
      <c r="F79" t="s">
        <v>36</v>
      </c>
      <c r="G79" t="s">
        <v>37</v>
      </c>
      <c r="H79" t="s">
        <v>31</v>
      </c>
      <c r="I79" t="s">
        <v>16</v>
      </c>
    </row>
    <row r="80" spans="1:9" x14ac:dyDescent="0.3">
      <c r="A80">
        <v>10535</v>
      </c>
      <c r="B80" s="1">
        <v>44889</v>
      </c>
      <c r="C80" t="s">
        <v>21</v>
      </c>
      <c r="D80">
        <v>12.99</v>
      </c>
      <c r="E80">
        <v>477.29</v>
      </c>
      <c r="F80" t="s">
        <v>36</v>
      </c>
      <c r="G80" t="s">
        <v>22</v>
      </c>
      <c r="H80" t="s">
        <v>31</v>
      </c>
      <c r="I80" t="s">
        <v>16</v>
      </c>
    </row>
    <row r="81" spans="1:9" x14ac:dyDescent="0.3">
      <c r="A81">
        <v>10536</v>
      </c>
      <c r="B81" s="1">
        <v>44889</v>
      </c>
      <c r="C81" t="s">
        <v>25</v>
      </c>
      <c r="D81">
        <v>9.9499999999999993</v>
      </c>
      <c r="E81">
        <v>201.01</v>
      </c>
      <c r="F81" t="s">
        <v>36</v>
      </c>
      <c r="G81" t="s">
        <v>22</v>
      </c>
      <c r="H81" t="s">
        <v>31</v>
      </c>
      <c r="I81" t="s">
        <v>16</v>
      </c>
    </row>
    <row r="82" spans="1:9" x14ac:dyDescent="0.3">
      <c r="A82">
        <v>10540</v>
      </c>
      <c r="B82" s="1">
        <v>44890</v>
      </c>
      <c r="C82" t="s">
        <v>21</v>
      </c>
      <c r="D82">
        <v>12.99</v>
      </c>
      <c r="E82">
        <v>461.89</v>
      </c>
      <c r="F82" t="s">
        <v>36</v>
      </c>
      <c r="G82" t="s">
        <v>22</v>
      </c>
      <c r="H82" t="s">
        <v>31</v>
      </c>
      <c r="I82" t="s">
        <v>16</v>
      </c>
    </row>
    <row r="83" spans="1:9" x14ac:dyDescent="0.3">
      <c r="A83">
        <v>10541</v>
      </c>
      <c r="B83" s="1">
        <v>44890</v>
      </c>
      <c r="C83" t="s">
        <v>25</v>
      </c>
      <c r="D83">
        <v>9.9499999999999993</v>
      </c>
      <c r="E83">
        <v>201.01</v>
      </c>
      <c r="F83" t="s">
        <v>36</v>
      </c>
      <c r="G83" t="s">
        <v>22</v>
      </c>
      <c r="H83" t="s">
        <v>38</v>
      </c>
      <c r="I83" t="s">
        <v>13</v>
      </c>
    </row>
    <row r="84" spans="1:9" x14ac:dyDescent="0.3">
      <c r="A84">
        <v>10542</v>
      </c>
      <c r="B84" s="1">
        <v>44890</v>
      </c>
      <c r="C84" t="s">
        <v>9</v>
      </c>
      <c r="D84">
        <v>3.49</v>
      </c>
      <c r="E84">
        <v>630.37</v>
      </c>
      <c r="F84" t="s">
        <v>36</v>
      </c>
      <c r="G84" t="s">
        <v>22</v>
      </c>
      <c r="H84" t="s">
        <v>38</v>
      </c>
      <c r="I84" t="s">
        <v>13</v>
      </c>
    </row>
    <row r="85" spans="1:9" x14ac:dyDescent="0.3">
      <c r="A85">
        <v>10543</v>
      </c>
      <c r="B85" s="1">
        <v>44890</v>
      </c>
      <c r="C85" t="s">
        <v>14</v>
      </c>
      <c r="D85">
        <v>2.95</v>
      </c>
      <c r="E85">
        <v>745.76</v>
      </c>
      <c r="F85" t="s">
        <v>36</v>
      </c>
      <c r="G85" t="s">
        <v>22</v>
      </c>
      <c r="H85" t="s">
        <v>38</v>
      </c>
      <c r="I85" t="s">
        <v>13</v>
      </c>
    </row>
    <row r="86" spans="1:9" x14ac:dyDescent="0.3">
      <c r="A86">
        <v>10544</v>
      </c>
      <c r="B86" s="1">
        <v>44890</v>
      </c>
      <c r="C86" t="s">
        <v>17</v>
      </c>
      <c r="D86">
        <v>4.99</v>
      </c>
      <c r="E86">
        <v>200.4</v>
      </c>
      <c r="F86" t="s">
        <v>36</v>
      </c>
      <c r="G86" t="s">
        <v>22</v>
      </c>
      <c r="H86" t="s">
        <v>38</v>
      </c>
      <c r="I86" t="s">
        <v>13</v>
      </c>
    </row>
    <row r="87" spans="1:9" x14ac:dyDescent="0.3">
      <c r="A87">
        <v>10545</v>
      </c>
      <c r="B87" s="1">
        <v>44891</v>
      </c>
      <c r="C87" t="s">
        <v>21</v>
      </c>
      <c r="D87">
        <v>12.99</v>
      </c>
      <c r="E87">
        <v>446.5</v>
      </c>
      <c r="F87" t="s">
        <v>36</v>
      </c>
      <c r="G87" t="s">
        <v>22</v>
      </c>
      <c r="H87" t="s">
        <v>38</v>
      </c>
      <c r="I87" t="s">
        <v>13</v>
      </c>
    </row>
    <row r="88" spans="1:9" x14ac:dyDescent="0.3">
      <c r="A88">
        <v>10546</v>
      </c>
      <c r="B88" s="1">
        <v>44891</v>
      </c>
      <c r="C88" t="s">
        <v>25</v>
      </c>
      <c r="D88">
        <v>9.9499999999999993</v>
      </c>
      <c r="E88">
        <v>201.01</v>
      </c>
      <c r="F88" t="s">
        <v>36</v>
      </c>
      <c r="G88" t="s">
        <v>22</v>
      </c>
      <c r="H88" t="s">
        <v>38</v>
      </c>
      <c r="I88" t="s">
        <v>13</v>
      </c>
    </row>
    <row r="89" spans="1:9" x14ac:dyDescent="0.3">
      <c r="A89">
        <v>10547</v>
      </c>
      <c r="B89" s="1">
        <v>44891</v>
      </c>
      <c r="C89" t="s">
        <v>9</v>
      </c>
      <c r="D89">
        <v>3.49</v>
      </c>
      <c r="E89">
        <v>630.37</v>
      </c>
      <c r="F89" t="s">
        <v>36</v>
      </c>
      <c r="G89" t="s">
        <v>22</v>
      </c>
      <c r="H89" t="s">
        <v>38</v>
      </c>
      <c r="I89" t="s">
        <v>13</v>
      </c>
    </row>
    <row r="90" spans="1:9" x14ac:dyDescent="0.3">
      <c r="A90">
        <v>10548</v>
      </c>
      <c r="B90" s="1">
        <v>44891</v>
      </c>
      <c r="C90" t="s">
        <v>14</v>
      </c>
      <c r="D90">
        <v>2.95</v>
      </c>
      <c r="E90">
        <v>745.76</v>
      </c>
      <c r="F90" t="s">
        <v>36</v>
      </c>
      <c r="G90" t="s">
        <v>22</v>
      </c>
      <c r="H90" t="s">
        <v>38</v>
      </c>
      <c r="I90" t="s">
        <v>13</v>
      </c>
    </row>
    <row r="91" spans="1:9" x14ac:dyDescent="0.3">
      <c r="A91">
        <v>10549</v>
      </c>
      <c r="B91" s="1">
        <v>44891</v>
      </c>
      <c r="C91" t="s">
        <v>17</v>
      </c>
      <c r="D91">
        <v>4.99</v>
      </c>
      <c r="E91">
        <v>200.4</v>
      </c>
      <c r="F91" t="s">
        <v>36</v>
      </c>
      <c r="G91" t="s">
        <v>22</v>
      </c>
      <c r="H91" t="s">
        <v>38</v>
      </c>
      <c r="I91" t="s">
        <v>13</v>
      </c>
    </row>
    <row r="92" spans="1:9" x14ac:dyDescent="0.3">
      <c r="A92">
        <v>10550</v>
      </c>
      <c r="B92" s="1">
        <v>44892</v>
      </c>
      <c r="C92" t="s">
        <v>21</v>
      </c>
      <c r="D92">
        <v>12.99</v>
      </c>
      <c r="E92">
        <v>461.89</v>
      </c>
      <c r="F92" t="s">
        <v>36</v>
      </c>
      <c r="G92" t="s">
        <v>22</v>
      </c>
      <c r="H92" t="s">
        <v>38</v>
      </c>
      <c r="I92" t="s">
        <v>13</v>
      </c>
    </row>
    <row r="93" spans="1:9" x14ac:dyDescent="0.3">
      <c r="A93">
        <v>10551</v>
      </c>
      <c r="B93" s="1">
        <v>44892</v>
      </c>
      <c r="C93" t="s">
        <v>25</v>
      </c>
      <c r="D93">
        <v>9.9499999999999993</v>
      </c>
      <c r="E93">
        <v>201.01</v>
      </c>
      <c r="F93" t="s">
        <v>36</v>
      </c>
      <c r="G93" t="s">
        <v>22</v>
      </c>
      <c r="H93" t="s">
        <v>38</v>
      </c>
      <c r="I93" t="s">
        <v>13</v>
      </c>
    </row>
    <row r="94" spans="1:9" x14ac:dyDescent="0.3">
      <c r="A94">
        <v>10552</v>
      </c>
      <c r="B94" s="1">
        <v>44892</v>
      </c>
      <c r="C94" t="s">
        <v>9</v>
      </c>
      <c r="D94">
        <v>3.49</v>
      </c>
      <c r="E94">
        <v>630.37</v>
      </c>
      <c r="F94" t="s">
        <v>10</v>
      </c>
      <c r="G94" t="s">
        <v>22</v>
      </c>
      <c r="H94" t="s">
        <v>38</v>
      </c>
      <c r="I94" t="s">
        <v>13</v>
      </c>
    </row>
    <row r="95" spans="1:9" x14ac:dyDescent="0.3">
      <c r="A95">
        <v>10553</v>
      </c>
      <c r="B95" s="1">
        <v>44892</v>
      </c>
      <c r="C95" t="s">
        <v>14</v>
      </c>
      <c r="D95">
        <v>2.95</v>
      </c>
      <c r="E95">
        <v>745.76</v>
      </c>
      <c r="F95" t="s">
        <v>10</v>
      </c>
      <c r="G95" t="s">
        <v>22</v>
      </c>
      <c r="H95" t="s">
        <v>38</v>
      </c>
      <c r="I95" t="s">
        <v>13</v>
      </c>
    </row>
    <row r="96" spans="1:9" x14ac:dyDescent="0.3">
      <c r="A96">
        <v>10554</v>
      </c>
      <c r="B96" s="1">
        <v>44892</v>
      </c>
      <c r="C96" t="s">
        <v>17</v>
      </c>
      <c r="D96">
        <v>4.99</v>
      </c>
      <c r="E96">
        <v>200.4</v>
      </c>
      <c r="F96" t="s">
        <v>10</v>
      </c>
      <c r="G96" t="s">
        <v>22</v>
      </c>
      <c r="H96" t="s">
        <v>38</v>
      </c>
      <c r="I96" t="s">
        <v>13</v>
      </c>
    </row>
    <row r="97" spans="1:9" x14ac:dyDescent="0.3">
      <c r="A97">
        <v>10555</v>
      </c>
      <c r="B97" s="1">
        <v>44893</v>
      </c>
      <c r="C97" t="s">
        <v>21</v>
      </c>
      <c r="D97">
        <v>12.99</v>
      </c>
      <c r="E97">
        <v>477.29</v>
      </c>
      <c r="F97" t="s">
        <v>10</v>
      </c>
      <c r="G97" t="s">
        <v>22</v>
      </c>
      <c r="H97" t="s">
        <v>38</v>
      </c>
      <c r="I97" t="s">
        <v>13</v>
      </c>
    </row>
    <row r="98" spans="1:9" x14ac:dyDescent="0.3">
      <c r="A98">
        <v>10556</v>
      </c>
      <c r="B98" s="1">
        <v>44893</v>
      </c>
      <c r="C98" t="s">
        <v>25</v>
      </c>
      <c r="D98">
        <v>9.9499999999999993</v>
      </c>
      <c r="E98">
        <v>201.01</v>
      </c>
      <c r="F98" t="s">
        <v>10</v>
      </c>
      <c r="G98" t="s">
        <v>22</v>
      </c>
      <c r="H98" t="s">
        <v>38</v>
      </c>
      <c r="I98" t="s">
        <v>13</v>
      </c>
    </row>
    <row r="99" spans="1:9" x14ac:dyDescent="0.3">
      <c r="A99">
        <v>10557</v>
      </c>
      <c r="B99" s="1">
        <v>44893</v>
      </c>
      <c r="C99" t="s">
        <v>9</v>
      </c>
      <c r="D99">
        <v>3.49</v>
      </c>
      <c r="E99">
        <v>630.37</v>
      </c>
      <c r="F99" t="s">
        <v>10</v>
      </c>
      <c r="G99" t="s">
        <v>22</v>
      </c>
      <c r="H99" t="s">
        <v>38</v>
      </c>
      <c r="I99" t="s">
        <v>13</v>
      </c>
    </row>
    <row r="100" spans="1:9" x14ac:dyDescent="0.3">
      <c r="A100">
        <v>10558</v>
      </c>
      <c r="B100" s="1">
        <v>44893</v>
      </c>
      <c r="C100" t="s">
        <v>14</v>
      </c>
      <c r="D100">
        <v>2.95</v>
      </c>
      <c r="E100">
        <v>677.97</v>
      </c>
      <c r="F100" t="s">
        <v>10</v>
      </c>
      <c r="G100" t="s">
        <v>22</v>
      </c>
      <c r="H100" t="s">
        <v>38</v>
      </c>
      <c r="I100" t="s">
        <v>13</v>
      </c>
    </row>
    <row r="101" spans="1:9" x14ac:dyDescent="0.3">
      <c r="A101">
        <v>10559</v>
      </c>
      <c r="B101" s="1">
        <v>44893</v>
      </c>
      <c r="C101" t="s">
        <v>17</v>
      </c>
      <c r="D101">
        <v>4.99</v>
      </c>
      <c r="E101">
        <v>200.4</v>
      </c>
      <c r="F101" t="s">
        <v>10</v>
      </c>
      <c r="G101" t="s">
        <v>22</v>
      </c>
      <c r="H101" t="s">
        <v>38</v>
      </c>
      <c r="I101" t="s">
        <v>13</v>
      </c>
    </row>
    <row r="102" spans="1:9" x14ac:dyDescent="0.3">
      <c r="A102">
        <v>10560</v>
      </c>
      <c r="B102" s="1">
        <v>44894</v>
      </c>
      <c r="C102" t="s">
        <v>21</v>
      </c>
      <c r="D102">
        <v>12.99</v>
      </c>
      <c r="E102">
        <v>477.29</v>
      </c>
      <c r="F102" t="s">
        <v>10</v>
      </c>
      <c r="G102" t="s">
        <v>22</v>
      </c>
      <c r="H102" t="s">
        <v>38</v>
      </c>
      <c r="I102" t="s">
        <v>13</v>
      </c>
    </row>
    <row r="103" spans="1:9" x14ac:dyDescent="0.3">
      <c r="A103">
        <v>10561</v>
      </c>
      <c r="B103" s="1">
        <v>44894</v>
      </c>
      <c r="C103" t="s">
        <v>25</v>
      </c>
      <c r="D103">
        <v>9.9499999999999993</v>
      </c>
      <c r="E103">
        <v>201.01</v>
      </c>
      <c r="F103" t="s">
        <v>10</v>
      </c>
      <c r="G103" t="s">
        <v>22</v>
      </c>
      <c r="H103" t="s">
        <v>38</v>
      </c>
      <c r="I103" t="s">
        <v>13</v>
      </c>
    </row>
    <row r="104" spans="1:9" x14ac:dyDescent="0.3">
      <c r="A104">
        <v>10562</v>
      </c>
      <c r="B104" s="1">
        <v>44894</v>
      </c>
      <c r="C104" t="s">
        <v>9</v>
      </c>
      <c r="D104">
        <v>3.49</v>
      </c>
      <c r="E104">
        <v>630.37</v>
      </c>
      <c r="F104" t="s">
        <v>10</v>
      </c>
      <c r="G104" t="s">
        <v>22</v>
      </c>
      <c r="H104" t="s">
        <v>38</v>
      </c>
      <c r="I104" t="s">
        <v>13</v>
      </c>
    </row>
    <row r="105" spans="1:9" x14ac:dyDescent="0.3">
      <c r="A105">
        <v>10563</v>
      </c>
      <c r="B105" s="1">
        <v>44894</v>
      </c>
      <c r="C105" t="s">
        <v>14</v>
      </c>
      <c r="D105">
        <v>2.95</v>
      </c>
      <c r="E105">
        <v>677.97</v>
      </c>
      <c r="F105" t="s">
        <v>10</v>
      </c>
      <c r="G105" t="s">
        <v>22</v>
      </c>
      <c r="H105" t="s">
        <v>38</v>
      </c>
      <c r="I105" t="s">
        <v>13</v>
      </c>
    </row>
    <row r="106" spans="1:9" x14ac:dyDescent="0.3">
      <c r="A106">
        <v>10564</v>
      </c>
      <c r="B106" s="1">
        <v>44894</v>
      </c>
      <c r="C106" t="s">
        <v>17</v>
      </c>
      <c r="D106">
        <v>4.99</v>
      </c>
      <c r="E106">
        <v>200.4</v>
      </c>
      <c r="F106" t="s">
        <v>10</v>
      </c>
      <c r="G106" t="s">
        <v>22</v>
      </c>
      <c r="H106" t="s">
        <v>38</v>
      </c>
      <c r="I106" t="s">
        <v>13</v>
      </c>
    </row>
    <row r="107" spans="1:9" x14ac:dyDescent="0.3">
      <c r="A107">
        <v>10565</v>
      </c>
      <c r="B107" s="1">
        <v>44895</v>
      </c>
      <c r="C107" t="s">
        <v>21</v>
      </c>
      <c r="D107">
        <v>12.99</v>
      </c>
      <c r="E107">
        <v>492.69</v>
      </c>
      <c r="F107" t="s">
        <v>10</v>
      </c>
      <c r="G107" t="s">
        <v>22</v>
      </c>
      <c r="H107" t="s">
        <v>38</v>
      </c>
      <c r="I107" t="s">
        <v>13</v>
      </c>
    </row>
    <row r="108" spans="1:9" x14ac:dyDescent="0.3">
      <c r="A108">
        <v>10566</v>
      </c>
      <c r="B108" s="1">
        <v>44895</v>
      </c>
      <c r="C108" t="s">
        <v>25</v>
      </c>
      <c r="D108">
        <v>9.9499999999999993</v>
      </c>
      <c r="E108">
        <v>201.01</v>
      </c>
      <c r="F108" t="s">
        <v>10</v>
      </c>
      <c r="G108" t="s">
        <v>22</v>
      </c>
      <c r="H108" t="s">
        <v>38</v>
      </c>
      <c r="I108" t="s">
        <v>13</v>
      </c>
    </row>
    <row r="109" spans="1:9" x14ac:dyDescent="0.3">
      <c r="A109">
        <v>10567</v>
      </c>
      <c r="B109" s="1">
        <v>44895</v>
      </c>
      <c r="C109" t="s">
        <v>9</v>
      </c>
      <c r="D109">
        <v>3.49</v>
      </c>
      <c r="E109">
        <v>630.37</v>
      </c>
      <c r="F109" t="s">
        <v>10</v>
      </c>
      <c r="G109" t="s">
        <v>22</v>
      </c>
      <c r="H109" t="s">
        <v>38</v>
      </c>
      <c r="I109" t="s">
        <v>13</v>
      </c>
    </row>
    <row r="110" spans="1:9" x14ac:dyDescent="0.3">
      <c r="A110">
        <v>10568</v>
      </c>
      <c r="B110" s="1">
        <v>44895</v>
      </c>
      <c r="C110" t="s">
        <v>14</v>
      </c>
      <c r="D110">
        <v>2.95</v>
      </c>
      <c r="E110">
        <v>677.97</v>
      </c>
      <c r="F110" t="s">
        <v>10</v>
      </c>
      <c r="G110" t="s">
        <v>22</v>
      </c>
      <c r="H110" t="s">
        <v>38</v>
      </c>
      <c r="I110" t="s">
        <v>13</v>
      </c>
    </row>
    <row r="111" spans="1:9" x14ac:dyDescent="0.3">
      <c r="A111">
        <v>10569</v>
      </c>
      <c r="B111" s="1">
        <v>44895</v>
      </c>
      <c r="C111" t="s">
        <v>17</v>
      </c>
      <c r="D111">
        <v>4.99</v>
      </c>
      <c r="E111">
        <v>200.4</v>
      </c>
      <c r="F111" t="s">
        <v>10</v>
      </c>
      <c r="G111" t="s">
        <v>22</v>
      </c>
      <c r="H111" t="s">
        <v>38</v>
      </c>
      <c r="I111" t="s">
        <v>13</v>
      </c>
    </row>
    <row r="112" spans="1:9" x14ac:dyDescent="0.3">
      <c r="A112">
        <v>10570</v>
      </c>
      <c r="B112" s="1">
        <v>44896</v>
      </c>
      <c r="C112" t="s">
        <v>21</v>
      </c>
      <c r="D112">
        <v>12.99</v>
      </c>
      <c r="E112">
        <v>492.69</v>
      </c>
      <c r="F112" t="s">
        <v>10</v>
      </c>
      <c r="G112" t="s">
        <v>22</v>
      </c>
      <c r="H112" t="s">
        <v>38</v>
      </c>
      <c r="I112" t="s">
        <v>13</v>
      </c>
    </row>
    <row r="113" spans="1:9" x14ac:dyDescent="0.3">
      <c r="A113">
        <v>10571</v>
      </c>
      <c r="B113" s="1">
        <v>44896</v>
      </c>
      <c r="C113" t="s">
        <v>25</v>
      </c>
      <c r="D113">
        <v>9.9499999999999993</v>
      </c>
      <c r="E113">
        <v>201.01</v>
      </c>
      <c r="F113" t="s">
        <v>10</v>
      </c>
      <c r="G113" t="s">
        <v>22</v>
      </c>
      <c r="H113" t="s">
        <v>38</v>
      </c>
      <c r="I113" t="s">
        <v>13</v>
      </c>
    </row>
    <row r="114" spans="1:9" x14ac:dyDescent="0.3">
      <c r="A114">
        <v>10572</v>
      </c>
      <c r="B114" s="1">
        <v>44896</v>
      </c>
      <c r="C114" t="s">
        <v>9</v>
      </c>
      <c r="D114">
        <v>3.49</v>
      </c>
      <c r="E114">
        <v>573.07000000000005</v>
      </c>
      <c r="F114" t="s">
        <v>10</v>
      </c>
      <c r="G114" t="s">
        <v>22</v>
      </c>
      <c r="H114" t="s">
        <v>28</v>
      </c>
      <c r="I114" t="s">
        <v>27</v>
      </c>
    </row>
    <row r="115" spans="1:9" x14ac:dyDescent="0.3">
      <c r="A115">
        <v>10573</v>
      </c>
      <c r="B115" s="1">
        <v>44896</v>
      </c>
      <c r="C115" t="s">
        <v>14</v>
      </c>
      <c r="D115">
        <v>2.95</v>
      </c>
      <c r="E115">
        <v>677.97</v>
      </c>
      <c r="F115" t="s">
        <v>10</v>
      </c>
      <c r="G115" t="s">
        <v>22</v>
      </c>
      <c r="H115" t="s">
        <v>28</v>
      </c>
      <c r="I115" t="s">
        <v>27</v>
      </c>
    </row>
    <row r="116" spans="1:9" x14ac:dyDescent="0.3">
      <c r="A116">
        <v>10574</v>
      </c>
      <c r="B116" s="1">
        <v>44896</v>
      </c>
      <c r="C116" t="s">
        <v>17</v>
      </c>
      <c r="D116">
        <v>4.99</v>
      </c>
      <c r="E116">
        <v>200.4</v>
      </c>
      <c r="F116" t="s">
        <v>10</v>
      </c>
      <c r="G116" t="s">
        <v>22</v>
      </c>
      <c r="H116" t="s">
        <v>28</v>
      </c>
      <c r="I116" t="s">
        <v>27</v>
      </c>
    </row>
    <row r="117" spans="1:9" x14ac:dyDescent="0.3">
      <c r="A117">
        <v>10575</v>
      </c>
      <c r="B117" s="1">
        <v>44897</v>
      </c>
      <c r="C117" t="s">
        <v>21</v>
      </c>
      <c r="D117">
        <v>12.99</v>
      </c>
      <c r="E117">
        <v>523.48</v>
      </c>
      <c r="F117" t="s">
        <v>10</v>
      </c>
      <c r="G117" t="s">
        <v>22</v>
      </c>
      <c r="H117" t="s">
        <v>28</v>
      </c>
      <c r="I117" t="s">
        <v>27</v>
      </c>
    </row>
    <row r="118" spans="1:9" x14ac:dyDescent="0.3">
      <c r="A118">
        <v>10576</v>
      </c>
      <c r="B118" s="1">
        <v>44897</v>
      </c>
      <c r="C118" t="s">
        <v>25</v>
      </c>
      <c r="D118">
        <v>9.9499999999999993</v>
      </c>
      <c r="E118">
        <v>201.01</v>
      </c>
      <c r="F118" t="s">
        <v>10</v>
      </c>
      <c r="G118" t="s">
        <v>22</v>
      </c>
      <c r="H118" t="s">
        <v>28</v>
      </c>
      <c r="I118" t="s">
        <v>27</v>
      </c>
    </row>
    <row r="119" spans="1:9" x14ac:dyDescent="0.3">
      <c r="A119">
        <v>10577</v>
      </c>
      <c r="B119" s="1">
        <v>44897</v>
      </c>
      <c r="C119" t="s">
        <v>9</v>
      </c>
      <c r="D119">
        <v>3.49</v>
      </c>
      <c r="E119">
        <v>630.37</v>
      </c>
      <c r="F119" t="s">
        <v>10</v>
      </c>
      <c r="G119" t="s">
        <v>22</v>
      </c>
      <c r="H119" t="s">
        <v>28</v>
      </c>
      <c r="I119" t="s">
        <v>27</v>
      </c>
    </row>
    <row r="120" spans="1:9" x14ac:dyDescent="0.3">
      <c r="A120">
        <v>10578</v>
      </c>
      <c r="B120" s="1">
        <v>44897</v>
      </c>
      <c r="C120" t="s">
        <v>14</v>
      </c>
      <c r="D120">
        <v>2.95</v>
      </c>
      <c r="E120">
        <v>677.97</v>
      </c>
      <c r="F120" t="s">
        <v>10</v>
      </c>
      <c r="G120" t="s">
        <v>22</v>
      </c>
      <c r="H120" t="s">
        <v>28</v>
      </c>
      <c r="I120" t="s">
        <v>27</v>
      </c>
    </row>
    <row r="121" spans="1:9" x14ac:dyDescent="0.3">
      <c r="A121">
        <v>10579</v>
      </c>
      <c r="B121" s="1">
        <v>44897</v>
      </c>
      <c r="C121" t="s">
        <v>17</v>
      </c>
      <c r="D121">
        <v>4.99</v>
      </c>
      <c r="E121">
        <v>200.4</v>
      </c>
      <c r="F121" t="s">
        <v>10</v>
      </c>
      <c r="G121" t="s">
        <v>22</v>
      </c>
      <c r="H121" t="s">
        <v>28</v>
      </c>
      <c r="I121" t="s">
        <v>27</v>
      </c>
    </row>
    <row r="122" spans="1:9" x14ac:dyDescent="0.3">
      <c r="A122">
        <v>10580</v>
      </c>
      <c r="B122" s="1">
        <v>44898</v>
      </c>
      <c r="C122" t="s">
        <v>21</v>
      </c>
      <c r="D122">
        <v>12.99</v>
      </c>
      <c r="E122">
        <v>523.48</v>
      </c>
      <c r="F122" t="s">
        <v>10</v>
      </c>
      <c r="G122" t="s">
        <v>22</v>
      </c>
      <c r="H122" t="s">
        <v>28</v>
      </c>
      <c r="I122" t="s">
        <v>27</v>
      </c>
    </row>
    <row r="123" spans="1:9" x14ac:dyDescent="0.3">
      <c r="A123">
        <v>10581</v>
      </c>
      <c r="B123" s="1">
        <v>44898</v>
      </c>
      <c r="C123" t="s">
        <v>25</v>
      </c>
      <c r="D123">
        <v>9.9499999999999993</v>
      </c>
      <c r="E123">
        <v>201.01</v>
      </c>
      <c r="F123" t="s">
        <v>10</v>
      </c>
      <c r="G123" t="s">
        <v>22</v>
      </c>
      <c r="H123" t="s">
        <v>28</v>
      </c>
      <c r="I123" t="s">
        <v>27</v>
      </c>
    </row>
    <row r="124" spans="1:9" x14ac:dyDescent="0.3">
      <c r="A124">
        <v>10582</v>
      </c>
      <c r="B124" s="1">
        <v>44898</v>
      </c>
      <c r="C124" t="s">
        <v>9</v>
      </c>
      <c r="D124">
        <v>3.49</v>
      </c>
      <c r="E124">
        <v>630.37</v>
      </c>
      <c r="F124" t="s">
        <v>10</v>
      </c>
      <c r="G124" t="s">
        <v>22</v>
      </c>
      <c r="H124" t="s">
        <v>38</v>
      </c>
      <c r="I124" t="s">
        <v>13</v>
      </c>
    </row>
    <row r="125" spans="1:9" x14ac:dyDescent="0.3">
      <c r="A125">
        <v>10583</v>
      </c>
      <c r="B125" s="1">
        <v>44898</v>
      </c>
      <c r="C125" t="s">
        <v>14</v>
      </c>
      <c r="D125">
        <v>2.95</v>
      </c>
      <c r="E125">
        <v>677.97</v>
      </c>
      <c r="F125" t="s">
        <v>10</v>
      </c>
      <c r="G125" t="s">
        <v>22</v>
      </c>
      <c r="H125" t="s">
        <v>38</v>
      </c>
      <c r="I125" t="s">
        <v>13</v>
      </c>
    </row>
    <row r="126" spans="1:9" x14ac:dyDescent="0.3">
      <c r="A126">
        <v>10584</v>
      </c>
      <c r="B126" s="1">
        <v>44898</v>
      </c>
      <c r="C126" t="s">
        <v>17</v>
      </c>
      <c r="D126">
        <v>4.99</v>
      </c>
      <c r="E126">
        <v>200.4</v>
      </c>
      <c r="F126" t="s">
        <v>10</v>
      </c>
      <c r="G126" t="s">
        <v>22</v>
      </c>
      <c r="H126" t="s">
        <v>38</v>
      </c>
      <c r="I126" t="s">
        <v>13</v>
      </c>
    </row>
    <row r="127" spans="1:9" x14ac:dyDescent="0.3">
      <c r="A127">
        <v>10585</v>
      </c>
      <c r="B127" s="1">
        <v>44899</v>
      </c>
      <c r="C127" t="s">
        <v>21</v>
      </c>
      <c r="D127">
        <v>12.99</v>
      </c>
      <c r="E127">
        <v>538.88</v>
      </c>
      <c r="F127" t="s">
        <v>10</v>
      </c>
      <c r="G127" t="s">
        <v>22</v>
      </c>
      <c r="H127" t="s">
        <v>38</v>
      </c>
      <c r="I127" t="s">
        <v>13</v>
      </c>
    </row>
    <row r="128" spans="1:9" x14ac:dyDescent="0.3">
      <c r="A128">
        <v>10586</v>
      </c>
      <c r="B128" s="1">
        <v>44899</v>
      </c>
      <c r="C128" t="s">
        <v>25</v>
      </c>
      <c r="D128">
        <v>9.9499999999999993</v>
      </c>
      <c r="E128">
        <v>201.01</v>
      </c>
      <c r="F128" t="s">
        <v>10</v>
      </c>
      <c r="G128" t="s">
        <v>22</v>
      </c>
      <c r="H128" t="s">
        <v>38</v>
      </c>
      <c r="I128" t="s">
        <v>13</v>
      </c>
    </row>
    <row r="129" spans="1:9" x14ac:dyDescent="0.3">
      <c r="A129">
        <v>10537</v>
      </c>
      <c r="B129" s="1">
        <v>44889</v>
      </c>
      <c r="C129" t="s">
        <v>9</v>
      </c>
      <c r="D129">
        <v>3.49</v>
      </c>
      <c r="E129">
        <v>630.37</v>
      </c>
      <c r="F129" t="s">
        <v>36</v>
      </c>
      <c r="G129" t="s">
        <v>22</v>
      </c>
      <c r="H129" t="s">
        <v>31</v>
      </c>
      <c r="I129" t="s">
        <v>16</v>
      </c>
    </row>
    <row r="130" spans="1:9" x14ac:dyDescent="0.3">
      <c r="A130">
        <v>10538</v>
      </c>
      <c r="B130" s="1">
        <v>44889</v>
      </c>
      <c r="C130" t="s">
        <v>14</v>
      </c>
      <c r="D130">
        <v>2.95</v>
      </c>
      <c r="E130">
        <v>745.76</v>
      </c>
      <c r="F130" t="s">
        <v>36</v>
      </c>
      <c r="G130" t="s">
        <v>22</v>
      </c>
      <c r="H130" t="s">
        <v>31</v>
      </c>
      <c r="I130" t="s">
        <v>16</v>
      </c>
    </row>
    <row r="131" spans="1:9" x14ac:dyDescent="0.3">
      <c r="A131">
        <v>10539</v>
      </c>
      <c r="B131" s="1">
        <v>44889</v>
      </c>
      <c r="C131" t="s">
        <v>17</v>
      </c>
      <c r="D131">
        <v>4.99</v>
      </c>
      <c r="E131">
        <v>200.4</v>
      </c>
      <c r="F131" t="s">
        <v>36</v>
      </c>
      <c r="G131" t="s">
        <v>22</v>
      </c>
      <c r="H131" t="s">
        <v>31</v>
      </c>
      <c r="I131" t="s">
        <v>16</v>
      </c>
    </row>
    <row r="132" spans="1:9" x14ac:dyDescent="0.3">
      <c r="A132">
        <v>10590</v>
      </c>
      <c r="B132" s="1">
        <v>44900</v>
      </c>
      <c r="C132" t="s">
        <v>21</v>
      </c>
      <c r="D132">
        <v>12.99</v>
      </c>
      <c r="E132">
        <v>554.27</v>
      </c>
      <c r="F132" t="s">
        <v>10</v>
      </c>
      <c r="G132" t="s">
        <v>22</v>
      </c>
      <c r="H132" t="s">
        <v>38</v>
      </c>
      <c r="I132" t="s">
        <v>13</v>
      </c>
    </row>
    <row r="133" spans="1:9" x14ac:dyDescent="0.3">
      <c r="A133">
        <v>10591</v>
      </c>
      <c r="B133" s="1">
        <v>44900</v>
      </c>
      <c r="C133" t="s">
        <v>25</v>
      </c>
      <c r="D133">
        <v>9.9499999999999993</v>
      </c>
      <c r="E133">
        <v>201.01</v>
      </c>
      <c r="F133" t="s">
        <v>10</v>
      </c>
      <c r="G133" t="s">
        <v>22</v>
      </c>
      <c r="H133" t="s">
        <v>38</v>
      </c>
      <c r="I133" t="s">
        <v>13</v>
      </c>
    </row>
    <row r="134" spans="1:9" x14ac:dyDescent="0.3">
      <c r="A134">
        <v>10592</v>
      </c>
      <c r="B134" s="1">
        <v>44900</v>
      </c>
      <c r="C134" t="s">
        <v>9</v>
      </c>
      <c r="D134">
        <v>3.49</v>
      </c>
      <c r="E134">
        <v>573.07000000000005</v>
      </c>
      <c r="F134" t="s">
        <v>10</v>
      </c>
      <c r="G134" t="s">
        <v>22</v>
      </c>
      <c r="H134" t="s">
        <v>38</v>
      </c>
      <c r="I134" t="s">
        <v>13</v>
      </c>
    </row>
    <row r="135" spans="1:9" x14ac:dyDescent="0.3">
      <c r="A135">
        <v>10593</v>
      </c>
      <c r="B135" s="1">
        <v>44900</v>
      </c>
      <c r="C135" t="s">
        <v>14</v>
      </c>
      <c r="D135">
        <v>2.95</v>
      </c>
      <c r="E135">
        <v>677.97</v>
      </c>
      <c r="F135" t="s">
        <v>10</v>
      </c>
      <c r="G135" t="s">
        <v>22</v>
      </c>
      <c r="H135" t="s">
        <v>38</v>
      </c>
      <c r="I135" t="s">
        <v>13</v>
      </c>
    </row>
    <row r="136" spans="1:9" x14ac:dyDescent="0.3">
      <c r="A136">
        <v>10594</v>
      </c>
      <c r="B136" s="1">
        <v>44900</v>
      </c>
      <c r="C136" t="s">
        <v>17</v>
      </c>
      <c r="D136">
        <v>4.99</v>
      </c>
      <c r="E136">
        <v>200.4</v>
      </c>
      <c r="F136" t="s">
        <v>10</v>
      </c>
      <c r="G136" t="s">
        <v>22</v>
      </c>
      <c r="H136" t="s">
        <v>38</v>
      </c>
      <c r="I136" t="s">
        <v>13</v>
      </c>
    </row>
    <row r="137" spans="1:9" x14ac:dyDescent="0.3">
      <c r="A137">
        <v>10595</v>
      </c>
      <c r="B137" s="1">
        <v>44901</v>
      </c>
      <c r="C137" t="s">
        <v>21</v>
      </c>
      <c r="D137">
        <v>12.99</v>
      </c>
      <c r="E137">
        <v>538.88</v>
      </c>
      <c r="F137" t="s">
        <v>10</v>
      </c>
      <c r="G137" t="s">
        <v>22</v>
      </c>
      <c r="H137" t="s">
        <v>38</v>
      </c>
      <c r="I137" t="s">
        <v>13</v>
      </c>
    </row>
    <row r="138" spans="1:9" x14ac:dyDescent="0.3">
      <c r="A138">
        <v>10596</v>
      </c>
      <c r="B138" s="1">
        <v>44901</v>
      </c>
      <c r="C138" t="s">
        <v>25</v>
      </c>
      <c r="D138">
        <v>9.9499999999999993</v>
      </c>
      <c r="E138">
        <v>201.01</v>
      </c>
      <c r="F138" t="s">
        <v>10</v>
      </c>
      <c r="G138" t="s">
        <v>22</v>
      </c>
      <c r="H138" t="s">
        <v>38</v>
      </c>
      <c r="I138" t="s">
        <v>13</v>
      </c>
    </row>
    <row r="139" spans="1:9" x14ac:dyDescent="0.3">
      <c r="A139">
        <v>10597</v>
      </c>
      <c r="B139" s="1">
        <v>44901</v>
      </c>
      <c r="C139" t="s">
        <v>9</v>
      </c>
      <c r="D139">
        <v>3.49</v>
      </c>
      <c r="E139">
        <v>573.07000000000005</v>
      </c>
      <c r="F139" t="s">
        <v>10</v>
      </c>
      <c r="G139" t="s">
        <v>22</v>
      </c>
      <c r="H139" t="s">
        <v>38</v>
      </c>
      <c r="I139" t="s">
        <v>13</v>
      </c>
    </row>
    <row r="140" spans="1:9" x14ac:dyDescent="0.3">
      <c r="A140">
        <v>10598</v>
      </c>
      <c r="B140" s="1">
        <v>44901</v>
      </c>
      <c r="C140" t="s">
        <v>14</v>
      </c>
      <c r="D140">
        <v>2.95</v>
      </c>
      <c r="E140">
        <v>677.97</v>
      </c>
      <c r="F140" t="s">
        <v>10</v>
      </c>
      <c r="G140" t="s">
        <v>22</v>
      </c>
      <c r="H140" t="s">
        <v>38</v>
      </c>
      <c r="I140" t="s">
        <v>13</v>
      </c>
    </row>
    <row r="141" spans="1:9" x14ac:dyDescent="0.3">
      <c r="A141">
        <v>10599</v>
      </c>
      <c r="B141" s="1">
        <v>44901</v>
      </c>
      <c r="C141" t="s">
        <v>17</v>
      </c>
      <c r="D141">
        <v>4.99</v>
      </c>
      <c r="E141">
        <v>200.4</v>
      </c>
      <c r="F141" t="s">
        <v>10</v>
      </c>
      <c r="G141" t="s">
        <v>22</v>
      </c>
      <c r="H141" t="s">
        <v>38</v>
      </c>
      <c r="I141" t="s">
        <v>13</v>
      </c>
    </row>
    <row r="142" spans="1:9" x14ac:dyDescent="0.3">
      <c r="A142">
        <v>10600</v>
      </c>
      <c r="B142" s="1">
        <v>44902</v>
      </c>
      <c r="C142" t="s">
        <v>21</v>
      </c>
      <c r="D142">
        <v>12.99</v>
      </c>
      <c r="E142">
        <v>523.48</v>
      </c>
      <c r="F142" t="s">
        <v>10</v>
      </c>
      <c r="G142" t="s">
        <v>22</v>
      </c>
      <c r="H142" t="s">
        <v>38</v>
      </c>
      <c r="I142" t="s">
        <v>13</v>
      </c>
    </row>
    <row r="143" spans="1:9" x14ac:dyDescent="0.3">
      <c r="A143">
        <v>10601</v>
      </c>
      <c r="B143" s="1">
        <v>44902</v>
      </c>
      <c r="C143" t="s">
        <v>25</v>
      </c>
      <c r="D143">
        <v>9.9499999999999993</v>
      </c>
      <c r="E143">
        <v>201.01</v>
      </c>
      <c r="F143" t="s">
        <v>10</v>
      </c>
      <c r="G143" t="s">
        <v>22</v>
      </c>
      <c r="H143" t="s">
        <v>38</v>
      </c>
      <c r="I143" t="s">
        <v>13</v>
      </c>
    </row>
    <row r="144" spans="1:9" x14ac:dyDescent="0.3">
      <c r="A144">
        <v>10602</v>
      </c>
      <c r="B144" s="1">
        <v>44902</v>
      </c>
      <c r="C144" t="s">
        <v>9</v>
      </c>
      <c r="D144">
        <v>3.49</v>
      </c>
      <c r="E144">
        <v>630.37</v>
      </c>
      <c r="F144" t="s">
        <v>10</v>
      </c>
      <c r="G144" t="s">
        <v>37</v>
      </c>
      <c r="H144" t="s">
        <v>38</v>
      </c>
      <c r="I144" t="s">
        <v>13</v>
      </c>
    </row>
    <row r="145" spans="1:9" x14ac:dyDescent="0.3">
      <c r="A145">
        <v>10603</v>
      </c>
      <c r="B145" s="1">
        <v>44902</v>
      </c>
      <c r="C145" t="s">
        <v>14</v>
      </c>
      <c r="D145">
        <v>2.95</v>
      </c>
      <c r="E145">
        <v>677.97</v>
      </c>
      <c r="F145" t="s">
        <v>10</v>
      </c>
      <c r="G145" t="s">
        <v>37</v>
      </c>
      <c r="H145" t="s">
        <v>38</v>
      </c>
      <c r="I145" t="s">
        <v>13</v>
      </c>
    </row>
    <row r="146" spans="1:9" x14ac:dyDescent="0.3">
      <c r="A146">
        <v>10604</v>
      </c>
      <c r="B146" s="1">
        <v>44902</v>
      </c>
      <c r="C146" t="s">
        <v>17</v>
      </c>
      <c r="D146">
        <v>4.99</v>
      </c>
      <c r="E146">
        <v>200.4</v>
      </c>
      <c r="F146" t="s">
        <v>10</v>
      </c>
      <c r="G146" t="s">
        <v>37</v>
      </c>
      <c r="H146" t="s">
        <v>38</v>
      </c>
      <c r="I146" t="s">
        <v>13</v>
      </c>
    </row>
    <row r="147" spans="1:9" x14ac:dyDescent="0.3">
      <c r="A147">
        <v>10605</v>
      </c>
      <c r="B147" s="1">
        <v>44903</v>
      </c>
      <c r="C147" t="s">
        <v>21</v>
      </c>
      <c r="D147">
        <v>12.99</v>
      </c>
      <c r="E147">
        <v>538.88</v>
      </c>
      <c r="F147" t="s">
        <v>10</v>
      </c>
      <c r="G147" t="s">
        <v>37</v>
      </c>
      <c r="H147" t="s">
        <v>38</v>
      </c>
      <c r="I147" t="s">
        <v>13</v>
      </c>
    </row>
    <row r="148" spans="1:9" x14ac:dyDescent="0.3">
      <c r="A148">
        <v>10606</v>
      </c>
      <c r="B148" s="1">
        <v>44903</v>
      </c>
      <c r="C148" t="s">
        <v>25</v>
      </c>
      <c r="D148">
        <v>9.9499999999999993</v>
      </c>
      <c r="E148">
        <v>201.01</v>
      </c>
      <c r="F148" t="s">
        <v>10</v>
      </c>
      <c r="G148" t="s">
        <v>37</v>
      </c>
      <c r="H148" t="s">
        <v>38</v>
      </c>
      <c r="I148" t="s">
        <v>13</v>
      </c>
    </row>
    <row r="149" spans="1:9" x14ac:dyDescent="0.3">
      <c r="A149">
        <v>10607</v>
      </c>
      <c r="B149" s="1">
        <v>44903</v>
      </c>
      <c r="C149" t="s">
        <v>9</v>
      </c>
      <c r="D149">
        <v>3.49</v>
      </c>
      <c r="E149">
        <v>630.37</v>
      </c>
      <c r="F149" t="s">
        <v>10</v>
      </c>
      <c r="G149" t="s">
        <v>37</v>
      </c>
      <c r="H149" t="s">
        <v>38</v>
      </c>
      <c r="I149" t="s">
        <v>13</v>
      </c>
    </row>
    <row r="150" spans="1:9" x14ac:dyDescent="0.3">
      <c r="A150">
        <v>10608</v>
      </c>
      <c r="B150" s="1">
        <v>44903</v>
      </c>
      <c r="C150" t="s">
        <v>14</v>
      </c>
      <c r="D150">
        <v>2.95</v>
      </c>
      <c r="E150">
        <v>677.97</v>
      </c>
      <c r="F150" t="s">
        <v>10</v>
      </c>
      <c r="G150" t="s">
        <v>11</v>
      </c>
      <c r="H150" t="s">
        <v>38</v>
      </c>
      <c r="I150" t="s">
        <v>13</v>
      </c>
    </row>
    <row r="151" spans="1:9" x14ac:dyDescent="0.3">
      <c r="A151">
        <v>10609</v>
      </c>
      <c r="B151" s="1">
        <v>44903</v>
      </c>
      <c r="C151" t="s">
        <v>17</v>
      </c>
      <c r="D151">
        <v>4.99</v>
      </c>
      <c r="E151">
        <v>200.4</v>
      </c>
      <c r="F151" t="s">
        <v>10</v>
      </c>
      <c r="G151" t="s">
        <v>11</v>
      </c>
      <c r="H151" t="s">
        <v>38</v>
      </c>
      <c r="I151" t="s">
        <v>13</v>
      </c>
    </row>
    <row r="152" spans="1:9" x14ac:dyDescent="0.3">
      <c r="A152">
        <v>10610</v>
      </c>
      <c r="B152" s="1">
        <v>44904</v>
      </c>
      <c r="C152" t="s">
        <v>21</v>
      </c>
      <c r="D152">
        <v>12.99</v>
      </c>
      <c r="E152">
        <v>569.66999999999996</v>
      </c>
      <c r="F152" t="s">
        <v>10</v>
      </c>
      <c r="G152" t="s">
        <v>11</v>
      </c>
      <c r="H152" t="s">
        <v>38</v>
      </c>
      <c r="I152" t="s">
        <v>13</v>
      </c>
    </row>
    <row r="153" spans="1:9" x14ac:dyDescent="0.3">
      <c r="A153">
        <v>10611</v>
      </c>
      <c r="B153" s="1">
        <v>44904</v>
      </c>
      <c r="C153" t="s">
        <v>25</v>
      </c>
      <c r="D153">
        <v>9.9499999999999993</v>
      </c>
      <c r="E153">
        <v>201.01</v>
      </c>
      <c r="F153" t="s">
        <v>10</v>
      </c>
      <c r="G153" t="s">
        <v>11</v>
      </c>
      <c r="H153" t="s">
        <v>38</v>
      </c>
      <c r="I153" t="s">
        <v>13</v>
      </c>
    </row>
    <row r="154" spans="1:9" x14ac:dyDescent="0.3">
      <c r="A154">
        <v>10612</v>
      </c>
      <c r="B154" s="1">
        <v>44904</v>
      </c>
      <c r="C154" t="s">
        <v>9</v>
      </c>
      <c r="D154">
        <v>3.49</v>
      </c>
      <c r="E154">
        <v>630.37</v>
      </c>
      <c r="F154" t="s">
        <v>10</v>
      </c>
      <c r="G154" t="s">
        <v>11</v>
      </c>
      <c r="H154" t="s">
        <v>38</v>
      </c>
      <c r="I154" t="s">
        <v>13</v>
      </c>
    </row>
    <row r="155" spans="1:9" x14ac:dyDescent="0.3">
      <c r="A155">
        <v>10613</v>
      </c>
      <c r="B155" s="1">
        <v>44904</v>
      </c>
      <c r="C155" t="s">
        <v>14</v>
      </c>
      <c r="D155">
        <v>2.95</v>
      </c>
      <c r="E155">
        <v>677.97</v>
      </c>
      <c r="F155" t="s">
        <v>10</v>
      </c>
      <c r="G155" t="s">
        <v>11</v>
      </c>
      <c r="H155" t="s">
        <v>38</v>
      </c>
      <c r="I155" t="s">
        <v>13</v>
      </c>
    </row>
    <row r="156" spans="1:9" x14ac:dyDescent="0.3">
      <c r="A156">
        <v>10614</v>
      </c>
      <c r="B156" s="1">
        <v>44904</v>
      </c>
      <c r="C156" t="s">
        <v>17</v>
      </c>
      <c r="D156">
        <v>4.99</v>
      </c>
      <c r="E156">
        <v>200.4</v>
      </c>
      <c r="F156" t="s">
        <v>10</v>
      </c>
      <c r="G156" t="s">
        <v>11</v>
      </c>
      <c r="H156" t="s">
        <v>38</v>
      </c>
      <c r="I156" t="s">
        <v>13</v>
      </c>
    </row>
    <row r="157" spans="1:9" x14ac:dyDescent="0.3">
      <c r="A157">
        <v>10615</v>
      </c>
      <c r="B157" s="1">
        <v>44905</v>
      </c>
      <c r="C157" t="s">
        <v>21</v>
      </c>
      <c r="D157">
        <v>12.99</v>
      </c>
      <c r="E157">
        <v>569.66999999999996</v>
      </c>
      <c r="F157" t="s">
        <v>10</v>
      </c>
      <c r="G157" t="s">
        <v>11</v>
      </c>
      <c r="H157" t="s">
        <v>38</v>
      </c>
      <c r="I157" t="s">
        <v>13</v>
      </c>
    </row>
    <row r="158" spans="1:9" x14ac:dyDescent="0.3">
      <c r="A158">
        <v>10616</v>
      </c>
      <c r="B158" s="1">
        <v>44905</v>
      </c>
      <c r="C158" t="s">
        <v>25</v>
      </c>
      <c r="D158">
        <v>9.9499999999999993</v>
      </c>
      <c r="E158">
        <v>201.01</v>
      </c>
      <c r="F158" t="s">
        <v>10</v>
      </c>
      <c r="G158" t="s">
        <v>11</v>
      </c>
      <c r="H158" t="s">
        <v>38</v>
      </c>
      <c r="I158" t="s">
        <v>13</v>
      </c>
    </row>
    <row r="159" spans="1:9" x14ac:dyDescent="0.3">
      <c r="A159">
        <v>10617</v>
      </c>
      <c r="B159" s="1">
        <v>44905</v>
      </c>
      <c r="C159" t="s">
        <v>9</v>
      </c>
      <c r="D159">
        <v>3.49</v>
      </c>
      <c r="E159">
        <v>630.37</v>
      </c>
      <c r="F159" t="s">
        <v>10</v>
      </c>
      <c r="G159" t="s">
        <v>11</v>
      </c>
      <c r="H159" t="s">
        <v>38</v>
      </c>
      <c r="I159" t="s">
        <v>13</v>
      </c>
    </row>
    <row r="160" spans="1:9" x14ac:dyDescent="0.3">
      <c r="A160">
        <v>10618</v>
      </c>
      <c r="B160" s="1">
        <v>44905</v>
      </c>
      <c r="C160" t="s">
        <v>14</v>
      </c>
      <c r="D160">
        <v>2.95</v>
      </c>
      <c r="E160">
        <v>677.97</v>
      </c>
      <c r="F160" t="s">
        <v>10</v>
      </c>
      <c r="G160" t="s">
        <v>11</v>
      </c>
      <c r="H160" t="s">
        <v>38</v>
      </c>
      <c r="I160" t="s">
        <v>13</v>
      </c>
    </row>
    <row r="161" spans="1:9" x14ac:dyDescent="0.3">
      <c r="A161">
        <v>10619</v>
      </c>
      <c r="B161" s="1">
        <v>44905</v>
      </c>
      <c r="C161" t="s">
        <v>17</v>
      </c>
      <c r="D161">
        <v>4.99</v>
      </c>
      <c r="E161">
        <v>200.4</v>
      </c>
      <c r="F161" t="s">
        <v>10</v>
      </c>
      <c r="G161" t="s">
        <v>11</v>
      </c>
      <c r="H161" t="s">
        <v>38</v>
      </c>
      <c r="I161" t="s">
        <v>13</v>
      </c>
    </row>
    <row r="162" spans="1:9" x14ac:dyDescent="0.3">
      <c r="A162">
        <v>10620</v>
      </c>
      <c r="B162" s="1">
        <v>44906</v>
      </c>
      <c r="C162" t="s">
        <v>21</v>
      </c>
      <c r="D162">
        <v>12.99</v>
      </c>
      <c r="E162">
        <v>585.07000000000005</v>
      </c>
      <c r="F162" t="s">
        <v>10</v>
      </c>
      <c r="G162" t="s">
        <v>11</v>
      </c>
      <c r="H162" t="s">
        <v>38</v>
      </c>
      <c r="I162" t="s">
        <v>13</v>
      </c>
    </row>
    <row r="163" spans="1:9" x14ac:dyDescent="0.3">
      <c r="A163">
        <v>10621</v>
      </c>
      <c r="B163" s="1">
        <v>44906</v>
      </c>
      <c r="C163" t="s">
        <v>25</v>
      </c>
      <c r="D163">
        <v>9.9499999999999993</v>
      </c>
      <c r="E163">
        <v>201.01</v>
      </c>
      <c r="F163" t="s">
        <v>10</v>
      </c>
      <c r="G163" t="s">
        <v>11</v>
      </c>
      <c r="H163" t="s">
        <v>38</v>
      </c>
      <c r="I163" t="s">
        <v>13</v>
      </c>
    </row>
    <row r="164" spans="1:9" x14ac:dyDescent="0.3">
      <c r="A164">
        <v>10622</v>
      </c>
      <c r="B164" s="1">
        <v>44906</v>
      </c>
      <c r="C164" t="s">
        <v>9</v>
      </c>
      <c r="D164">
        <v>3.49</v>
      </c>
      <c r="E164">
        <v>630.37</v>
      </c>
      <c r="F164" t="s">
        <v>10</v>
      </c>
      <c r="G164" t="s">
        <v>11</v>
      </c>
      <c r="H164" t="s">
        <v>38</v>
      </c>
      <c r="I164" t="s">
        <v>13</v>
      </c>
    </row>
    <row r="165" spans="1:9" x14ac:dyDescent="0.3">
      <c r="A165">
        <v>10623</v>
      </c>
      <c r="B165" s="1">
        <v>44906</v>
      </c>
      <c r="C165" t="s">
        <v>14</v>
      </c>
      <c r="D165">
        <v>2.95</v>
      </c>
      <c r="E165">
        <v>745.76</v>
      </c>
      <c r="F165" t="s">
        <v>10</v>
      </c>
      <c r="G165" t="s">
        <v>11</v>
      </c>
      <c r="H165" t="s">
        <v>38</v>
      </c>
      <c r="I165" t="s">
        <v>13</v>
      </c>
    </row>
    <row r="166" spans="1:9" x14ac:dyDescent="0.3">
      <c r="A166">
        <v>10624</v>
      </c>
      <c r="B166" s="1">
        <v>44906</v>
      </c>
      <c r="C166" t="s">
        <v>17</v>
      </c>
      <c r="D166">
        <v>4.99</v>
      </c>
      <c r="E166">
        <v>200.4</v>
      </c>
      <c r="F166" t="s">
        <v>10</v>
      </c>
      <c r="G166" t="s">
        <v>11</v>
      </c>
      <c r="H166" t="s">
        <v>38</v>
      </c>
      <c r="I166" t="s">
        <v>13</v>
      </c>
    </row>
    <row r="167" spans="1:9" x14ac:dyDescent="0.3">
      <c r="A167">
        <v>10625</v>
      </c>
      <c r="B167" s="1">
        <v>44907</v>
      </c>
      <c r="C167" t="s">
        <v>21</v>
      </c>
      <c r="D167">
        <v>12.99</v>
      </c>
      <c r="E167">
        <v>569.66999999999996</v>
      </c>
      <c r="F167" t="s">
        <v>10</v>
      </c>
      <c r="G167" t="s">
        <v>11</v>
      </c>
      <c r="H167" t="s">
        <v>38</v>
      </c>
      <c r="I167" t="s">
        <v>13</v>
      </c>
    </row>
    <row r="168" spans="1:9" x14ac:dyDescent="0.3">
      <c r="A168">
        <v>10626</v>
      </c>
      <c r="B168" s="1">
        <v>44907</v>
      </c>
      <c r="C168" t="s">
        <v>25</v>
      </c>
      <c r="D168">
        <v>9.9499999999999993</v>
      </c>
      <c r="E168">
        <v>201.01</v>
      </c>
      <c r="F168" t="s">
        <v>10</v>
      </c>
      <c r="G168" t="s">
        <v>11</v>
      </c>
      <c r="H168" t="s">
        <v>38</v>
      </c>
      <c r="I168" t="s">
        <v>13</v>
      </c>
    </row>
    <row r="169" spans="1:9" x14ac:dyDescent="0.3">
      <c r="A169">
        <v>10627</v>
      </c>
      <c r="B169" s="1">
        <v>44907</v>
      </c>
      <c r="C169" t="s">
        <v>9</v>
      </c>
      <c r="D169">
        <v>3.49</v>
      </c>
      <c r="E169">
        <v>630.37</v>
      </c>
      <c r="F169" t="s">
        <v>10</v>
      </c>
      <c r="G169" t="s">
        <v>11</v>
      </c>
      <c r="H169" t="s">
        <v>38</v>
      </c>
      <c r="I169" t="s">
        <v>13</v>
      </c>
    </row>
    <row r="170" spans="1:9" x14ac:dyDescent="0.3">
      <c r="A170">
        <v>10628</v>
      </c>
      <c r="B170" s="1">
        <v>44907</v>
      </c>
      <c r="C170" t="s">
        <v>14</v>
      </c>
      <c r="D170">
        <v>2.95</v>
      </c>
      <c r="E170">
        <v>677.97</v>
      </c>
      <c r="F170" t="s">
        <v>10</v>
      </c>
      <c r="G170" t="s">
        <v>11</v>
      </c>
      <c r="H170" t="s">
        <v>35</v>
      </c>
      <c r="I170" t="s">
        <v>20</v>
      </c>
    </row>
    <row r="171" spans="1:9" x14ac:dyDescent="0.3">
      <c r="A171">
        <v>10629</v>
      </c>
      <c r="B171" s="1">
        <v>44907</v>
      </c>
      <c r="C171" t="s">
        <v>17</v>
      </c>
      <c r="D171">
        <v>4.99</v>
      </c>
      <c r="E171">
        <v>200.4</v>
      </c>
      <c r="F171" t="s">
        <v>10</v>
      </c>
      <c r="G171" t="s">
        <v>11</v>
      </c>
      <c r="H171" t="s">
        <v>35</v>
      </c>
      <c r="I171" t="s">
        <v>20</v>
      </c>
    </row>
    <row r="172" spans="1:9" x14ac:dyDescent="0.3">
      <c r="A172">
        <v>10630</v>
      </c>
      <c r="B172" s="1">
        <v>44908</v>
      </c>
      <c r="C172" t="s">
        <v>21</v>
      </c>
      <c r="D172">
        <v>12.99</v>
      </c>
      <c r="E172">
        <v>569.66999999999996</v>
      </c>
      <c r="F172" t="s">
        <v>10</v>
      </c>
      <c r="G172" t="s">
        <v>37</v>
      </c>
      <c r="H172" t="s">
        <v>35</v>
      </c>
      <c r="I172" t="s">
        <v>20</v>
      </c>
    </row>
    <row r="173" spans="1:9" x14ac:dyDescent="0.3">
      <c r="A173">
        <v>10631</v>
      </c>
      <c r="B173" s="1">
        <v>44908</v>
      </c>
      <c r="C173" t="s">
        <v>25</v>
      </c>
      <c r="D173">
        <v>9.9499999999999993</v>
      </c>
      <c r="E173">
        <v>201.01</v>
      </c>
      <c r="F173" t="s">
        <v>10</v>
      </c>
      <c r="G173" t="s">
        <v>11</v>
      </c>
      <c r="H173" t="s">
        <v>35</v>
      </c>
      <c r="I173" t="s">
        <v>20</v>
      </c>
    </row>
    <row r="174" spans="1:9" x14ac:dyDescent="0.3">
      <c r="A174">
        <v>10632</v>
      </c>
      <c r="B174" s="1">
        <v>44908</v>
      </c>
      <c r="C174" t="s">
        <v>9</v>
      </c>
      <c r="D174">
        <v>3.49</v>
      </c>
      <c r="E174">
        <v>630.37</v>
      </c>
      <c r="F174" t="s">
        <v>10</v>
      </c>
      <c r="G174" t="s">
        <v>11</v>
      </c>
      <c r="H174" t="s">
        <v>35</v>
      </c>
      <c r="I174" t="s">
        <v>20</v>
      </c>
    </row>
    <row r="175" spans="1:9" x14ac:dyDescent="0.3">
      <c r="A175">
        <v>10633</v>
      </c>
      <c r="B175" s="1">
        <v>44908</v>
      </c>
      <c r="C175" t="s">
        <v>14</v>
      </c>
      <c r="D175">
        <v>2.95</v>
      </c>
      <c r="E175">
        <v>677.97</v>
      </c>
      <c r="F175" t="s">
        <v>10</v>
      </c>
      <c r="G175" t="s">
        <v>11</v>
      </c>
      <c r="H175" t="s">
        <v>35</v>
      </c>
      <c r="I175" t="s">
        <v>20</v>
      </c>
    </row>
    <row r="176" spans="1:9" x14ac:dyDescent="0.3">
      <c r="A176">
        <v>10634</v>
      </c>
      <c r="B176" s="1">
        <v>44908</v>
      </c>
      <c r="C176" t="s">
        <v>17</v>
      </c>
      <c r="D176">
        <v>4.99</v>
      </c>
      <c r="E176">
        <v>200.4</v>
      </c>
      <c r="F176" t="s">
        <v>10</v>
      </c>
      <c r="G176" t="s">
        <v>11</v>
      </c>
      <c r="H176" t="s">
        <v>35</v>
      </c>
      <c r="I176" t="s">
        <v>20</v>
      </c>
    </row>
    <row r="177" spans="1:9" x14ac:dyDescent="0.3">
      <c r="A177">
        <v>10635</v>
      </c>
      <c r="B177" s="1">
        <v>44909</v>
      </c>
      <c r="C177" t="s">
        <v>21</v>
      </c>
      <c r="D177">
        <v>12.99</v>
      </c>
      <c r="E177">
        <v>554.27</v>
      </c>
      <c r="F177" t="s">
        <v>10</v>
      </c>
      <c r="G177" t="s">
        <v>11</v>
      </c>
      <c r="H177" t="s">
        <v>35</v>
      </c>
      <c r="I177" t="s">
        <v>20</v>
      </c>
    </row>
    <row r="178" spans="1:9" x14ac:dyDescent="0.3">
      <c r="A178">
        <v>10636</v>
      </c>
      <c r="B178" s="1">
        <v>44909</v>
      </c>
      <c r="C178" t="s">
        <v>25</v>
      </c>
      <c r="D178">
        <v>9.9499999999999993</v>
      </c>
      <c r="E178">
        <v>221.11</v>
      </c>
      <c r="F178" t="s">
        <v>10</v>
      </c>
      <c r="G178" t="s">
        <v>11</v>
      </c>
      <c r="H178" t="s">
        <v>35</v>
      </c>
      <c r="I178" t="s">
        <v>20</v>
      </c>
    </row>
    <row r="179" spans="1:9" x14ac:dyDescent="0.3">
      <c r="A179">
        <v>10637</v>
      </c>
      <c r="B179" s="1">
        <v>44909</v>
      </c>
      <c r="C179" t="s">
        <v>9</v>
      </c>
      <c r="D179">
        <v>3.49</v>
      </c>
      <c r="E179">
        <v>630.37</v>
      </c>
      <c r="F179" t="s">
        <v>10</v>
      </c>
      <c r="G179" t="s">
        <v>11</v>
      </c>
      <c r="H179" t="s">
        <v>35</v>
      </c>
      <c r="I179" t="s">
        <v>20</v>
      </c>
    </row>
    <row r="180" spans="1:9" x14ac:dyDescent="0.3">
      <c r="A180">
        <v>10638</v>
      </c>
      <c r="B180" s="1">
        <v>44909</v>
      </c>
      <c r="C180" t="s">
        <v>14</v>
      </c>
      <c r="D180">
        <v>2.95</v>
      </c>
      <c r="E180">
        <v>677.97</v>
      </c>
      <c r="F180" t="s">
        <v>10</v>
      </c>
      <c r="G180" t="s">
        <v>11</v>
      </c>
      <c r="H180" t="s">
        <v>35</v>
      </c>
      <c r="I180" t="s">
        <v>20</v>
      </c>
    </row>
    <row r="181" spans="1:9" x14ac:dyDescent="0.3">
      <c r="A181">
        <v>10639</v>
      </c>
      <c r="B181" s="1">
        <v>44909</v>
      </c>
      <c r="C181" t="s">
        <v>17</v>
      </c>
      <c r="D181">
        <v>4.99</v>
      </c>
      <c r="E181">
        <v>200.4</v>
      </c>
      <c r="F181" t="s">
        <v>10</v>
      </c>
      <c r="G181" t="s">
        <v>11</v>
      </c>
      <c r="H181" t="s">
        <v>35</v>
      </c>
      <c r="I181" t="s">
        <v>20</v>
      </c>
    </row>
    <row r="182" spans="1:9" x14ac:dyDescent="0.3">
      <c r="A182">
        <v>10640</v>
      </c>
      <c r="B182" s="1">
        <v>44910</v>
      </c>
      <c r="C182" t="s">
        <v>21</v>
      </c>
      <c r="D182">
        <v>12.99</v>
      </c>
      <c r="E182">
        <v>538.88</v>
      </c>
      <c r="F182" t="s">
        <v>10</v>
      </c>
      <c r="G182" t="s">
        <v>11</v>
      </c>
      <c r="H182" t="s">
        <v>35</v>
      </c>
      <c r="I182" t="s">
        <v>20</v>
      </c>
    </row>
    <row r="183" spans="1:9" x14ac:dyDescent="0.3">
      <c r="A183">
        <v>10641</v>
      </c>
      <c r="B183" s="1">
        <v>44910</v>
      </c>
      <c r="C183" t="s">
        <v>25</v>
      </c>
      <c r="D183">
        <v>9.9499999999999993</v>
      </c>
      <c r="E183">
        <v>221.11</v>
      </c>
      <c r="F183" t="s">
        <v>10</v>
      </c>
      <c r="G183" t="s">
        <v>11</v>
      </c>
      <c r="H183" t="s">
        <v>35</v>
      </c>
      <c r="I183" t="s">
        <v>20</v>
      </c>
    </row>
    <row r="184" spans="1:9" x14ac:dyDescent="0.3">
      <c r="A184">
        <v>10642</v>
      </c>
      <c r="B184" s="1">
        <v>44910</v>
      </c>
      <c r="C184" t="s">
        <v>9</v>
      </c>
      <c r="D184">
        <v>3.49</v>
      </c>
      <c r="E184">
        <v>630.37</v>
      </c>
      <c r="F184" t="s">
        <v>10</v>
      </c>
      <c r="G184" t="s">
        <v>37</v>
      </c>
      <c r="H184" t="s">
        <v>35</v>
      </c>
      <c r="I184" t="s">
        <v>20</v>
      </c>
    </row>
    <row r="185" spans="1:9" x14ac:dyDescent="0.3">
      <c r="A185">
        <v>10643</v>
      </c>
      <c r="B185" s="1">
        <v>44910</v>
      </c>
      <c r="C185" t="s">
        <v>14</v>
      </c>
      <c r="D185">
        <v>2.95</v>
      </c>
      <c r="E185">
        <v>677.97</v>
      </c>
      <c r="F185" t="s">
        <v>10</v>
      </c>
      <c r="G185" t="s">
        <v>37</v>
      </c>
      <c r="H185" t="s">
        <v>35</v>
      </c>
      <c r="I185" t="s">
        <v>20</v>
      </c>
    </row>
    <row r="186" spans="1:9" x14ac:dyDescent="0.3">
      <c r="A186">
        <v>10644</v>
      </c>
      <c r="B186" s="1">
        <v>44910</v>
      </c>
      <c r="C186" t="s">
        <v>17</v>
      </c>
      <c r="D186">
        <v>4.99</v>
      </c>
      <c r="E186">
        <v>200.4</v>
      </c>
      <c r="F186" t="s">
        <v>10</v>
      </c>
      <c r="G186" t="s">
        <v>37</v>
      </c>
      <c r="H186" t="s">
        <v>35</v>
      </c>
      <c r="I186" t="s">
        <v>20</v>
      </c>
    </row>
    <row r="187" spans="1:9" x14ac:dyDescent="0.3">
      <c r="A187">
        <v>10645</v>
      </c>
      <c r="B187" s="1">
        <v>44911</v>
      </c>
      <c r="C187" t="s">
        <v>21</v>
      </c>
      <c r="D187">
        <v>12.99</v>
      </c>
      <c r="E187">
        <v>569.66999999999996</v>
      </c>
      <c r="F187" t="s">
        <v>10</v>
      </c>
      <c r="G187" t="s">
        <v>37</v>
      </c>
      <c r="H187" t="s">
        <v>35</v>
      </c>
      <c r="I187" t="s">
        <v>20</v>
      </c>
    </row>
    <row r="188" spans="1:9" x14ac:dyDescent="0.3">
      <c r="A188">
        <v>10646</v>
      </c>
      <c r="B188" s="1">
        <v>44911</v>
      </c>
      <c r="C188" t="s">
        <v>25</v>
      </c>
      <c r="D188">
        <v>9.9499999999999993</v>
      </c>
      <c r="E188">
        <v>221.11</v>
      </c>
      <c r="F188" t="s">
        <v>10</v>
      </c>
      <c r="G188" t="s">
        <v>37</v>
      </c>
      <c r="H188" t="s">
        <v>35</v>
      </c>
      <c r="I188" t="s">
        <v>20</v>
      </c>
    </row>
    <row r="189" spans="1:9" x14ac:dyDescent="0.3">
      <c r="A189">
        <v>10647</v>
      </c>
      <c r="B189" s="1">
        <v>44911</v>
      </c>
      <c r="C189" t="s">
        <v>9</v>
      </c>
      <c r="D189">
        <v>3.49</v>
      </c>
      <c r="E189">
        <v>630.37</v>
      </c>
      <c r="F189" t="s">
        <v>10</v>
      </c>
      <c r="G189" t="s">
        <v>11</v>
      </c>
      <c r="H189" t="s">
        <v>35</v>
      </c>
      <c r="I189" t="s">
        <v>20</v>
      </c>
    </row>
    <row r="190" spans="1:9" x14ac:dyDescent="0.3">
      <c r="A190">
        <v>10648</v>
      </c>
      <c r="B190" s="1">
        <v>44911</v>
      </c>
      <c r="C190" t="s">
        <v>14</v>
      </c>
      <c r="D190">
        <v>2.95</v>
      </c>
      <c r="E190">
        <v>745.76</v>
      </c>
      <c r="F190" t="s">
        <v>10</v>
      </c>
      <c r="G190" t="s">
        <v>11</v>
      </c>
      <c r="H190" t="s">
        <v>35</v>
      </c>
      <c r="I190" t="s">
        <v>20</v>
      </c>
    </row>
    <row r="191" spans="1:9" x14ac:dyDescent="0.3">
      <c r="A191">
        <v>10649</v>
      </c>
      <c r="B191" s="1">
        <v>44911</v>
      </c>
      <c r="C191" t="s">
        <v>17</v>
      </c>
      <c r="D191">
        <v>4.99</v>
      </c>
      <c r="E191">
        <v>200.4</v>
      </c>
      <c r="F191" t="s">
        <v>10</v>
      </c>
      <c r="G191" t="s">
        <v>11</v>
      </c>
      <c r="H191" t="s">
        <v>35</v>
      </c>
      <c r="I191" t="s">
        <v>20</v>
      </c>
    </row>
    <row r="192" spans="1:9" x14ac:dyDescent="0.3">
      <c r="A192">
        <v>10650</v>
      </c>
      <c r="B192" s="1">
        <v>44912</v>
      </c>
      <c r="C192" t="s">
        <v>21</v>
      </c>
      <c r="D192">
        <v>12.99</v>
      </c>
      <c r="E192">
        <v>585.07000000000005</v>
      </c>
      <c r="F192" t="s">
        <v>10</v>
      </c>
      <c r="G192" t="s">
        <v>11</v>
      </c>
      <c r="H192" t="s">
        <v>35</v>
      </c>
      <c r="I192" t="s">
        <v>20</v>
      </c>
    </row>
    <row r="193" spans="1:9" x14ac:dyDescent="0.3">
      <c r="A193">
        <v>10651</v>
      </c>
      <c r="B193" s="1">
        <v>44912</v>
      </c>
      <c r="C193" t="s">
        <v>25</v>
      </c>
      <c r="D193">
        <v>9.9499999999999993</v>
      </c>
      <c r="E193">
        <v>221.11</v>
      </c>
      <c r="F193" t="s">
        <v>10</v>
      </c>
      <c r="G193" t="s">
        <v>11</v>
      </c>
      <c r="H193" t="s">
        <v>35</v>
      </c>
      <c r="I193" t="s">
        <v>20</v>
      </c>
    </row>
    <row r="194" spans="1:9" x14ac:dyDescent="0.3">
      <c r="A194">
        <v>10652</v>
      </c>
      <c r="B194" s="1">
        <v>44912</v>
      </c>
      <c r="C194" t="s">
        <v>9</v>
      </c>
      <c r="D194">
        <v>3.49</v>
      </c>
      <c r="E194">
        <v>687.68</v>
      </c>
      <c r="F194" t="s">
        <v>10</v>
      </c>
      <c r="G194" t="s">
        <v>11</v>
      </c>
      <c r="H194" t="s">
        <v>35</v>
      </c>
      <c r="I194" t="s">
        <v>20</v>
      </c>
    </row>
    <row r="195" spans="1:9" x14ac:dyDescent="0.3">
      <c r="A195">
        <v>10653</v>
      </c>
      <c r="B195" s="1">
        <v>44912</v>
      </c>
      <c r="C195" t="s">
        <v>14</v>
      </c>
      <c r="D195">
        <v>2.95</v>
      </c>
      <c r="E195">
        <v>745.76</v>
      </c>
      <c r="F195" t="s">
        <v>10</v>
      </c>
      <c r="G195" t="s">
        <v>11</v>
      </c>
      <c r="H195" t="s">
        <v>35</v>
      </c>
      <c r="I195" t="s">
        <v>20</v>
      </c>
    </row>
    <row r="196" spans="1:9" x14ac:dyDescent="0.3">
      <c r="A196">
        <v>10654</v>
      </c>
      <c r="B196" s="1">
        <v>44912</v>
      </c>
      <c r="C196" t="s">
        <v>17</v>
      </c>
      <c r="D196">
        <v>4.99</v>
      </c>
      <c r="E196">
        <v>200.4</v>
      </c>
      <c r="F196" t="s">
        <v>10</v>
      </c>
      <c r="G196" t="s">
        <v>11</v>
      </c>
      <c r="H196" t="s">
        <v>35</v>
      </c>
      <c r="I196" t="s">
        <v>20</v>
      </c>
    </row>
    <row r="197" spans="1:9" x14ac:dyDescent="0.3">
      <c r="A197">
        <v>10655</v>
      </c>
      <c r="B197" s="1">
        <v>44913</v>
      </c>
      <c r="C197" t="s">
        <v>21</v>
      </c>
      <c r="D197">
        <v>12.99</v>
      </c>
      <c r="E197">
        <v>600.46</v>
      </c>
      <c r="F197" t="s">
        <v>10</v>
      </c>
      <c r="G197" t="s">
        <v>11</v>
      </c>
      <c r="H197" t="s">
        <v>35</v>
      </c>
      <c r="I197" t="s">
        <v>20</v>
      </c>
    </row>
    <row r="198" spans="1:9" x14ac:dyDescent="0.3">
      <c r="A198">
        <v>10656</v>
      </c>
      <c r="B198" s="1">
        <v>44913</v>
      </c>
      <c r="C198" t="s">
        <v>25</v>
      </c>
      <c r="D198">
        <v>9.9499999999999993</v>
      </c>
      <c r="E198">
        <v>221.11</v>
      </c>
      <c r="F198" t="s">
        <v>10</v>
      </c>
      <c r="G198" t="s">
        <v>11</v>
      </c>
      <c r="H198" t="s">
        <v>35</v>
      </c>
      <c r="I198" t="s">
        <v>20</v>
      </c>
    </row>
    <row r="199" spans="1:9" x14ac:dyDescent="0.3">
      <c r="A199">
        <v>10657</v>
      </c>
      <c r="B199" s="1">
        <v>44913</v>
      </c>
      <c r="C199" t="s">
        <v>9</v>
      </c>
      <c r="D199">
        <v>3.49</v>
      </c>
      <c r="E199">
        <v>687.68</v>
      </c>
      <c r="F199" t="s">
        <v>10</v>
      </c>
      <c r="G199" t="s">
        <v>11</v>
      </c>
      <c r="H199" t="s">
        <v>35</v>
      </c>
      <c r="I199" t="s">
        <v>20</v>
      </c>
    </row>
    <row r="200" spans="1:9" x14ac:dyDescent="0.3">
      <c r="A200">
        <v>10658</v>
      </c>
      <c r="B200" s="1">
        <v>44913</v>
      </c>
      <c r="C200" t="s">
        <v>14</v>
      </c>
      <c r="D200">
        <v>2.95</v>
      </c>
      <c r="E200">
        <v>745.76</v>
      </c>
      <c r="F200" t="s">
        <v>10</v>
      </c>
      <c r="G200" t="s">
        <v>37</v>
      </c>
      <c r="H200" t="s">
        <v>35</v>
      </c>
      <c r="I200" t="s">
        <v>20</v>
      </c>
    </row>
    <row r="201" spans="1:9" x14ac:dyDescent="0.3">
      <c r="A201">
        <v>10659</v>
      </c>
      <c r="B201" s="1">
        <v>44913</v>
      </c>
      <c r="C201" t="s">
        <v>17</v>
      </c>
      <c r="D201">
        <v>4.99</v>
      </c>
      <c r="E201">
        <v>200.4</v>
      </c>
      <c r="F201" t="s">
        <v>10</v>
      </c>
      <c r="G201" t="s">
        <v>37</v>
      </c>
      <c r="H201" t="s">
        <v>35</v>
      </c>
      <c r="I201" t="s">
        <v>20</v>
      </c>
    </row>
    <row r="202" spans="1:9" x14ac:dyDescent="0.3">
      <c r="A202">
        <v>10660</v>
      </c>
      <c r="B202" s="1">
        <v>44914</v>
      </c>
      <c r="C202" t="s">
        <v>21</v>
      </c>
      <c r="D202">
        <v>12.99</v>
      </c>
      <c r="E202">
        <v>631.25</v>
      </c>
      <c r="F202" t="s">
        <v>18</v>
      </c>
      <c r="G202" t="s">
        <v>37</v>
      </c>
      <c r="H202" t="s">
        <v>35</v>
      </c>
      <c r="I202" t="s">
        <v>20</v>
      </c>
    </row>
    <row r="203" spans="1:9" x14ac:dyDescent="0.3">
      <c r="A203">
        <v>10661</v>
      </c>
      <c r="B203" s="1">
        <v>44914</v>
      </c>
      <c r="C203" t="s">
        <v>25</v>
      </c>
      <c r="D203">
        <v>9.9499999999999993</v>
      </c>
      <c r="E203">
        <v>221.11</v>
      </c>
      <c r="F203" t="s">
        <v>18</v>
      </c>
      <c r="G203" t="s">
        <v>37</v>
      </c>
      <c r="H203" t="s">
        <v>35</v>
      </c>
      <c r="I203" t="s">
        <v>20</v>
      </c>
    </row>
    <row r="204" spans="1:9" x14ac:dyDescent="0.3">
      <c r="A204">
        <v>10662</v>
      </c>
      <c r="B204" s="1">
        <v>44914</v>
      </c>
      <c r="C204" t="s">
        <v>9</v>
      </c>
      <c r="D204">
        <v>3.49</v>
      </c>
      <c r="E204">
        <v>630.37</v>
      </c>
      <c r="F204" t="s">
        <v>18</v>
      </c>
      <c r="G204" t="s">
        <v>37</v>
      </c>
      <c r="H204" t="s">
        <v>35</v>
      </c>
      <c r="I204" t="s">
        <v>20</v>
      </c>
    </row>
    <row r="205" spans="1:9" x14ac:dyDescent="0.3">
      <c r="A205">
        <v>10663</v>
      </c>
      <c r="B205" s="1">
        <v>44914</v>
      </c>
      <c r="C205" t="s">
        <v>14</v>
      </c>
      <c r="D205">
        <v>2.95</v>
      </c>
      <c r="E205">
        <v>745.76</v>
      </c>
      <c r="F205" t="s">
        <v>18</v>
      </c>
      <c r="G205" t="s">
        <v>37</v>
      </c>
      <c r="H205" t="s">
        <v>35</v>
      </c>
      <c r="I205" t="s">
        <v>20</v>
      </c>
    </row>
    <row r="206" spans="1:9" x14ac:dyDescent="0.3">
      <c r="A206">
        <v>10664</v>
      </c>
      <c r="B206" s="1">
        <v>44914</v>
      </c>
      <c r="C206" t="s">
        <v>17</v>
      </c>
      <c r="D206">
        <v>4.99</v>
      </c>
      <c r="E206">
        <v>200.4</v>
      </c>
      <c r="F206" t="s">
        <v>18</v>
      </c>
      <c r="G206" t="s">
        <v>37</v>
      </c>
      <c r="H206" t="s">
        <v>35</v>
      </c>
      <c r="I206" t="s">
        <v>20</v>
      </c>
    </row>
    <row r="207" spans="1:9" x14ac:dyDescent="0.3">
      <c r="A207">
        <v>10665</v>
      </c>
      <c r="B207" s="1">
        <v>44915</v>
      </c>
      <c r="C207" t="s">
        <v>21</v>
      </c>
      <c r="D207">
        <v>12.99</v>
      </c>
      <c r="E207">
        <v>646.65</v>
      </c>
      <c r="F207" t="s">
        <v>18</v>
      </c>
      <c r="G207" t="s">
        <v>37</v>
      </c>
      <c r="H207" t="s">
        <v>35</v>
      </c>
      <c r="I207" t="s">
        <v>20</v>
      </c>
    </row>
    <row r="208" spans="1:9" x14ac:dyDescent="0.3">
      <c r="A208">
        <v>10666</v>
      </c>
      <c r="B208" s="1">
        <v>44915</v>
      </c>
      <c r="C208" t="s">
        <v>25</v>
      </c>
      <c r="D208">
        <v>9.9499999999999993</v>
      </c>
      <c r="E208">
        <v>221.11</v>
      </c>
      <c r="F208" t="s">
        <v>18</v>
      </c>
      <c r="G208" t="s">
        <v>37</v>
      </c>
      <c r="H208" t="s">
        <v>35</v>
      </c>
      <c r="I208" t="s">
        <v>20</v>
      </c>
    </row>
    <row r="209" spans="1:9" x14ac:dyDescent="0.3">
      <c r="A209">
        <v>10667</v>
      </c>
      <c r="B209" s="1">
        <v>44915</v>
      </c>
      <c r="C209" t="s">
        <v>9</v>
      </c>
      <c r="D209">
        <v>3.49</v>
      </c>
      <c r="E209">
        <v>630.37</v>
      </c>
      <c r="F209" t="s">
        <v>18</v>
      </c>
      <c r="G209" t="s">
        <v>37</v>
      </c>
      <c r="H209" t="s">
        <v>35</v>
      </c>
      <c r="I209" t="s">
        <v>20</v>
      </c>
    </row>
    <row r="210" spans="1:9" x14ac:dyDescent="0.3">
      <c r="A210">
        <v>10668</v>
      </c>
      <c r="B210" s="1">
        <v>44915</v>
      </c>
      <c r="C210" t="s">
        <v>14</v>
      </c>
      <c r="D210">
        <v>2.95</v>
      </c>
      <c r="E210">
        <v>745.76</v>
      </c>
      <c r="F210" t="s">
        <v>18</v>
      </c>
      <c r="G210" t="s">
        <v>37</v>
      </c>
      <c r="H210" t="s">
        <v>35</v>
      </c>
      <c r="I210" t="s">
        <v>20</v>
      </c>
    </row>
    <row r="211" spans="1:9" x14ac:dyDescent="0.3">
      <c r="A211">
        <v>10669</v>
      </c>
      <c r="B211" s="1">
        <v>44915</v>
      </c>
      <c r="C211" t="s">
        <v>17</v>
      </c>
      <c r="D211">
        <v>4.99</v>
      </c>
      <c r="E211">
        <v>200.4</v>
      </c>
      <c r="F211" t="s">
        <v>18</v>
      </c>
      <c r="G211" t="s">
        <v>37</v>
      </c>
      <c r="H211" t="s">
        <v>35</v>
      </c>
      <c r="I211" t="s">
        <v>20</v>
      </c>
    </row>
    <row r="212" spans="1:9" x14ac:dyDescent="0.3">
      <c r="A212">
        <v>10670</v>
      </c>
      <c r="B212" s="1">
        <v>44916</v>
      </c>
      <c r="C212" t="s">
        <v>21</v>
      </c>
      <c r="D212">
        <v>12.99</v>
      </c>
      <c r="E212">
        <v>677.44</v>
      </c>
      <c r="F212" t="s">
        <v>18</v>
      </c>
      <c r="G212" t="s">
        <v>37</v>
      </c>
      <c r="H212" t="s">
        <v>35</v>
      </c>
      <c r="I212" t="s">
        <v>20</v>
      </c>
    </row>
    <row r="213" spans="1:9" x14ac:dyDescent="0.3">
      <c r="A213">
        <v>10671</v>
      </c>
      <c r="B213" s="1">
        <v>44916</v>
      </c>
      <c r="C213" t="s">
        <v>25</v>
      </c>
      <c r="D213">
        <v>9.9499999999999993</v>
      </c>
      <c r="E213">
        <v>221.11</v>
      </c>
      <c r="F213" t="s">
        <v>18</v>
      </c>
      <c r="G213" t="s">
        <v>37</v>
      </c>
      <c r="H213" t="s">
        <v>35</v>
      </c>
      <c r="I213" t="s">
        <v>20</v>
      </c>
    </row>
    <row r="214" spans="1:9" x14ac:dyDescent="0.3">
      <c r="A214">
        <v>10672</v>
      </c>
      <c r="B214" s="1">
        <v>44916</v>
      </c>
      <c r="C214" t="s">
        <v>9</v>
      </c>
      <c r="D214">
        <v>3.49</v>
      </c>
      <c r="E214">
        <v>630.37</v>
      </c>
      <c r="F214" t="s">
        <v>18</v>
      </c>
      <c r="G214" t="s">
        <v>37</v>
      </c>
      <c r="H214" t="s">
        <v>35</v>
      </c>
      <c r="I214" t="s">
        <v>20</v>
      </c>
    </row>
    <row r="215" spans="1:9" x14ac:dyDescent="0.3">
      <c r="A215">
        <v>10673</v>
      </c>
      <c r="B215" s="1">
        <v>44916</v>
      </c>
      <c r="C215" t="s">
        <v>14</v>
      </c>
      <c r="D215">
        <v>2.95</v>
      </c>
      <c r="E215">
        <v>745.76</v>
      </c>
      <c r="F215" t="s">
        <v>18</v>
      </c>
      <c r="G215" t="s">
        <v>37</v>
      </c>
      <c r="H215" t="s">
        <v>35</v>
      </c>
      <c r="I215" t="s">
        <v>20</v>
      </c>
    </row>
    <row r="216" spans="1:9" x14ac:dyDescent="0.3">
      <c r="A216">
        <v>10674</v>
      </c>
      <c r="B216" s="1">
        <v>44916</v>
      </c>
      <c r="C216" t="s">
        <v>17</v>
      </c>
      <c r="D216">
        <v>4.99</v>
      </c>
      <c r="E216">
        <v>200.4</v>
      </c>
      <c r="F216" t="s">
        <v>18</v>
      </c>
      <c r="G216" t="s">
        <v>37</v>
      </c>
      <c r="H216" t="s">
        <v>35</v>
      </c>
      <c r="I216" t="s">
        <v>20</v>
      </c>
    </row>
    <row r="217" spans="1:9" x14ac:dyDescent="0.3">
      <c r="A217">
        <v>10675</v>
      </c>
      <c r="B217" s="1">
        <v>44917</v>
      </c>
      <c r="C217" t="s">
        <v>21</v>
      </c>
      <c r="D217">
        <v>12.99</v>
      </c>
      <c r="E217">
        <v>677.44</v>
      </c>
      <c r="F217" t="s">
        <v>18</v>
      </c>
      <c r="G217" t="s">
        <v>37</v>
      </c>
      <c r="H217" t="s">
        <v>35</v>
      </c>
      <c r="I217" t="s">
        <v>20</v>
      </c>
    </row>
    <row r="218" spans="1:9" x14ac:dyDescent="0.3">
      <c r="A218">
        <v>10676</v>
      </c>
      <c r="B218" s="1">
        <v>44917</v>
      </c>
      <c r="C218" t="s">
        <v>25</v>
      </c>
      <c r="D218">
        <v>9.9499999999999993</v>
      </c>
      <c r="E218">
        <v>241.21</v>
      </c>
      <c r="F218" t="s">
        <v>18</v>
      </c>
      <c r="G218" t="s">
        <v>37</v>
      </c>
      <c r="H218" t="s">
        <v>35</v>
      </c>
      <c r="I218" t="s">
        <v>20</v>
      </c>
    </row>
    <row r="219" spans="1:9" x14ac:dyDescent="0.3">
      <c r="A219">
        <v>10677</v>
      </c>
      <c r="B219" s="1">
        <v>44917</v>
      </c>
      <c r="C219" t="s">
        <v>9</v>
      </c>
      <c r="D219">
        <v>3.49</v>
      </c>
      <c r="E219">
        <v>630.37</v>
      </c>
      <c r="F219" t="s">
        <v>18</v>
      </c>
      <c r="G219" t="s">
        <v>37</v>
      </c>
      <c r="H219" t="s">
        <v>35</v>
      </c>
      <c r="I219" t="s">
        <v>20</v>
      </c>
    </row>
    <row r="220" spans="1:9" x14ac:dyDescent="0.3">
      <c r="A220">
        <v>10678</v>
      </c>
      <c r="B220" s="1">
        <v>44917</v>
      </c>
      <c r="C220" t="s">
        <v>14</v>
      </c>
      <c r="D220">
        <v>2.95</v>
      </c>
      <c r="E220">
        <v>745.76</v>
      </c>
      <c r="F220" t="s">
        <v>18</v>
      </c>
      <c r="G220" t="s">
        <v>37</v>
      </c>
      <c r="H220" t="s">
        <v>35</v>
      </c>
      <c r="I220" t="s">
        <v>20</v>
      </c>
    </row>
    <row r="221" spans="1:9" x14ac:dyDescent="0.3">
      <c r="A221">
        <v>10679</v>
      </c>
      <c r="B221" s="1">
        <v>44917</v>
      </c>
      <c r="C221" t="s">
        <v>17</v>
      </c>
      <c r="D221">
        <v>4.99</v>
      </c>
      <c r="E221">
        <v>200.4</v>
      </c>
      <c r="F221" t="s">
        <v>18</v>
      </c>
      <c r="G221" t="s">
        <v>37</v>
      </c>
      <c r="H221" t="s">
        <v>35</v>
      </c>
      <c r="I221" t="s">
        <v>20</v>
      </c>
    </row>
    <row r="222" spans="1:9" x14ac:dyDescent="0.3">
      <c r="A222">
        <v>10680</v>
      </c>
      <c r="B222" s="1">
        <v>44918</v>
      </c>
      <c r="C222" t="s">
        <v>21</v>
      </c>
      <c r="D222">
        <v>12.99</v>
      </c>
      <c r="E222">
        <v>646.65</v>
      </c>
      <c r="F222" t="s">
        <v>18</v>
      </c>
      <c r="G222" t="s">
        <v>37</v>
      </c>
      <c r="H222" t="s">
        <v>35</v>
      </c>
      <c r="I222" t="s">
        <v>20</v>
      </c>
    </row>
    <row r="223" spans="1:9" x14ac:dyDescent="0.3">
      <c r="A223">
        <v>10681</v>
      </c>
      <c r="B223" s="1">
        <v>44918</v>
      </c>
      <c r="C223" t="s">
        <v>25</v>
      </c>
      <c r="D223">
        <v>9.9499999999999993</v>
      </c>
      <c r="E223">
        <v>241.21</v>
      </c>
      <c r="F223" t="s">
        <v>18</v>
      </c>
      <c r="G223" t="s">
        <v>37</v>
      </c>
      <c r="H223" t="s">
        <v>35</v>
      </c>
      <c r="I223" t="s">
        <v>20</v>
      </c>
    </row>
    <row r="224" spans="1:9" x14ac:dyDescent="0.3">
      <c r="A224">
        <v>10682</v>
      </c>
      <c r="B224" s="1">
        <v>44918</v>
      </c>
      <c r="C224" t="s">
        <v>9</v>
      </c>
      <c r="D224">
        <v>3.49</v>
      </c>
      <c r="E224">
        <v>630.37</v>
      </c>
      <c r="F224" t="s">
        <v>18</v>
      </c>
      <c r="G224" t="s">
        <v>37</v>
      </c>
      <c r="H224" t="s">
        <v>35</v>
      </c>
      <c r="I224" t="s">
        <v>20</v>
      </c>
    </row>
    <row r="225" spans="1:9" x14ac:dyDescent="0.3">
      <c r="A225">
        <v>10683</v>
      </c>
      <c r="B225" s="1">
        <v>44918</v>
      </c>
      <c r="C225" t="s">
        <v>14</v>
      </c>
      <c r="D225">
        <v>2.95</v>
      </c>
      <c r="E225">
        <v>677.97</v>
      </c>
      <c r="F225" t="s">
        <v>18</v>
      </c>
      <c r="G225" t="s">
        <v>37</v>
      </c>
      <c r="H225" t="s">
        <v>35</v>
      </c>
      <c r="I225" t="s">
        <v>20</v>
      </c>
    </row>
    <row r="226" spans="1:9" x14ac:dyDescent="0.3">
      <c r="A226">
        <v>10684</v>
      </c>
      <c r="B226" s="1">
        <v>44918</v>
      </c>
      <c r="C226" t="s">
        <v>17</v>
      </c>
      <c r="D226">
        <v>4.99</v>
      </c>
      <c r="E226">
        <v>200.4</v>
      </c>
      <c r="F226" t="s">
        <v>18</v>
      </c>
      <c r="G226" t="s">
        <v>37</v>
      </c>
      <c r="H226" t="s">
        <v>35</v>
      </c>
      <c r="I226" t="s">
        <v>20</v>
      </c>
    </row>
    <row r="227" spans="1:9" x14ac:dyDescent="0.3">
      <c r="A227">
        <v>10685</v>
      </c>
      <c r="B227" s="1">
        <v>44919</v>
      </c>
      <c r="C227" t="s">
        <v>21</v>
      </c>
      <c r="D227">
        <v>12.99</v>
      </c>
      <c r="E227">
        <v>677.44</v>
      </c>
      <c r="F227" t="s">
        <v>18</v>
      </c>
      <c r="G227" t="s">
        <v>37</v>
      </c>
      <c r="H227" t="s">
        <v>35</v>
      </c>
      <c r="I227" t="s">
        <v>20</v>
      </c>
    </row>
    <row r="228" spans="1:9" x14ac:dyDescent="0.3">
      <c r="A228">
        <v>10686</v>
      </c>
      <c r="B228" s="1">
        <v>44919</v>
      </c>
      <c r="C228" t="s">
        <v>25</v>
      </c>
      <c r="D228">
        <v>9.9499999999999993</v>
      </c>
      <c r="E228">
        <v>241.21</v>
      </c>
      <c r="F228" t="s">
        <v>18</v>
      </c>
      <c r="G228" t="s">
        <v>37</v>
      </c>
      <c r="H228" t="s">
        <v>35</v>
      </c>
      <c r="I228" t="s">
        <v>20</v>
      </c>
    </row>
    <row r="229" spans="1:9" x14ac:dyDescent="0.3">
      <c r="A229">
        <v>10687</v>
      </c>
      <c r="B229" s="1">
        <v>44919</v>
      </c>
      <c r="C229" t="s">
        <v>9</v>
      </c>
      <c r="D229">
        <v>3.49</v>
      </c>
      <c r="E229">
        <v>630.37</v>
      </c>
      <c r="F229" t="s">
        <v>18</v>
      </c>
      <c r="G229" t="s">
        <v>37</v>
      </c>
      <c r="H229" t="s">
        <v>23</v>
      </c>
      <c r="I229" t="s">
        <v>24</v>
      </c>
    </row>
    <row r="230" spans="1:9" x14ac:dyDescent="0.3">
      <c r="A230">
        <v>10688</v>
      </c>
      <c r="B230" s="1">
        <v>44919</v>
      </c>
      <c r="C230" t="s">
        <v>14</v>
      </c>
      <c r="D230">
        <v>2.95</v>
      </c>
      <c r="E230">
        <v>677.97</v>
      </c>
      <c r="F230" t="s">
        <v>18</v>
      </c>
      <c r="G230" t="s">
        <v>37</v>
      </c>
      <c r="H230" t="s">
        <v>23</v>
      </c>
      <c r="I230" t="s">
        <v>24</v>
      </c>
    </row>
    <row r="231" spans="1:9" x14ac:dyDescent="0.3">
      <c r="A231">
        <v>10689</v>
      </c>
      <c r="B231" s="1">
        <v>44919</v>
      </c>
      <c r="C231" t="s">
        <v>17</v>
      </c>
      <c r="D231">
        <v>4.99</v>
      </c>
      <c r="E231">
        <v>200.4</v>
      </c>
      <c r="F231" t="s">
        <v>18</v>
      </c>
      <c r="G231" t="s">
        <v>37</v>
      </c>
      <c r="H231" t="s">
        <v>23</v>
      </c>
      <c r="I231" t="s">
        <v>24</v>
      </c>
    </row>
    <row r="232" spans="1:9" x14ac:dyDescent="0.3">
      <c r="A232">
        <v>10690</v>
      </c>
      <c r="B232" s="1">
        <v>44920</v>
      </c>
      <c r="C232" t="s">
        <v>21</v>
      </c>
      <c r="D232">
        <v>12.99</v>
      </c>
      <c r="E232">
        <v>677.44</v>
      </c>
      <c r="F232" t="s">
        <v>18</v>
      </c>
      <c r="G232" t="s">
        <v>37</v>
      </c>
      <c r="H232" t="s">
        <v>23</v>
      </c>
      <c r="I232" t="s">
        <v>24</v>
      </c>
    </row>
    <row r="233" spans="1:9" x14ac:dyDescent="0.3">
      <c r="A233">
        <v>10691</v>
      </c>
      <c r="B233" s="1">
        <v>44920</v>
      </c>
      <c r="C233" t="s">
        <v>25</v>
      </c>
      <c r="D233">
        <v>9.9499999999999993</v>
      </c>
      <c r="E233">
        <v>261.31</v>
      </c>
      <c r="F233" t="s">
        <v>18</v>
      </c>
      <c r="G233" t="s">
        <v>37</v>
      </c>
      <c r="H233" t="s">
        <v>23</v>
      </c>
      <c r="I233" t="s">
        <v>24</v>
      </c>
    </row>
    <row r="234" spans="1:9" x14ac:dyDescent="0.3">
      <c r="A234">
        <v>10692</v>
      </c>
      <c r="B234" s="1">
        <v>44920</v>
      </c>
      <c r="C234" t="s">
        <v>9</v>
      </c>
      <c r="D234">
        <v>3.49</v>
      </c>
      <c r="E234">
        <v>630.37</v>
      </c>
      <c r="F234" t="s">
        <v>18</v>
      </c>
      <c r="G234" t="s">
        <v>37</v>
      </c>
      <c r="H234" t="s">
        <v>23</v>
      </c>
      <c r="I234" t="s">
        <v>24</v>
      </c>
    </row>
    <row r="235" spans="1:9" x14ac:dyDescent="0.3">
      <c r="A235">
        <v>10693</v>
      </c>
      <c r="B235" s="1">
        <v>44920</v>
      </c>
      <c r="C235" t="s">
        <v>14</v>
      </c>
      <c r="D235">
        <v>2.95</v>
      </c>
      <c r="E235">
        <v>677.97</v>
      </c>
      <c r="F235" t="s">
        <v>18</v>
      </c>
      <c r="G235" t="s">
        <v>37</v>
      </c>
      <c r="H235" t="s">
        <v>23</v>
      </c>
      <c r="I235" t="s">
        <v>24</v>
      </c>
    </row>
    <row r="236" spans="1:9" x14ac:dyDescent="0.3">
      <c r="A236">
        <v>10694</v>
      </c>
      <c r="B236" s="1">
        <v>44920</v>
      </c>
      <c r="C236" t="s">
        <v>17</v>
      </c>
      <c r="D236">
        <v>4.99</v>
      </c>
      <c r="E236">
        <v>200.4</v>
      </c>
      <c r="F236" t="s">
        <v>18</v>
      </c>
      <c r="G236" t="s">
        <v>37</v>
      </c>
      <c r="H236" t="s">
        <v>23</v>
      </c>
      <c r="I236" t="s">
        <v>24</v>
      </c>
    </row>
    <row r="237" spans="1:9" x14ac:dyDescent="0.3">
      <c r="A237">
        <v>10695</v>
      </c>
      <c r="B237" s="1">
        <v>44921</v>
      </c>
      <c r="C237" t="s">
        <v>21</v>
      </c>
      <c r="D237">
        <v>12.99</v>
      </c>
      <c r="E237">
        <v>692.84</v>
      </c>
      <c r="F237" t="s">
        <v>18</v>
      </c>
      <c r="G237" t="s">
        <v>37</v>
      </c>
      <c r="H237" t="s">
        <v>23</v>
      </c>
      <c r="I237" t="s">
        <v>24</v>
      </c>
    </row>
    <row r="238" spans="1:9" x14ac:dyDescent="0.3">
      <c r="A238">
        <v>10696</v>
      </c>
      <c r="B238" s="1">
        <v>44921</v>
      </c>
      <c r="C238" t="s">
        <v>25</v>
      </c>
      <c r="D238">
        <v>9.9499999999999993</v>
      </c>
      <c r="E238">
        <v>281.41000000000003</v>
      </c>
      <c r="F238" t="s">
        <v>18</v>
      </c>
      <c r="G238" t="s">
        <v>37</v>
      </c>
      <c r="H238" t="s">
        <v>23</v>
      </c>
      <c r="I238" t="s">
        <v>24</v>
      </c>
    </row>
    <row r="239" spans="1:9" x14ac:dyDescent="0.3">
      <c r="A239">
        <v>10697</v>
      </c>
      <c r="B239" s="1">
        <v>44921</v>
      </c>
      <c r="C239" t="s">
        <v>9</v>
      </c>
      <c r="D239">
        <v>3.49</v>
      </c>
      <c r="E239">
        <v>630.37</v>
      </c>
      <c r="F239" t="s">
        <v>18</v>
      </c>
      <c r="G239" t="s">
        <v>37</v>
      </c>
      <c r="H239" t="s">
        <v>23</v>
      </c>
      <c r="I239" t="s">
        <v>24</v>
      </c>
    </row>
    <row r="240" spans="1:9" x14ac:dyDescent="0.3">
      <c r="A240">
        <v>10698</v>
      </c>
      <c r="B240" s="1">
        <v>44921</v>
      </c>
      <c r="C240" t="s">
        <v>14</v>
      </c>
      <c r="D240">
        <v>2.95</v>
      </c>
      <c r="E240">
        <v>677.97</v>
      </c>
      <c r="F240" t="s">
        <v>18</v>
      </c>
      <c r="G240" t="s">
        <v>37</v>
      </c>
      <c r="H240" t="s">
        <v>23</v>
      </c>
      <c r="I240" t="s">
        <v>24</v>
      </c>
    </row>
    <row r="241" spans="1:9" x14ac:dyDescent="0.3">
      <c r="A241">
        <v>10699</v>
      </c>
      <c r="B241" s="1">
        <v>44921</v>
      </c>
      <c r="C241" t="s">
        <v>17</v>
      </c>
      <c r="D241">
        <v>4.99</v>
      </c>
      <c r="E241">
        <v>200.4</v>
      </c>
      <c r="F241" t="s">
        <v>18</v>
      </c>
      <c r="G241" t="s">
        <v>37</v>
      </c>
      <c r="H241" t="s">
        <v>23</v>
      </c>
      <c r="I241" t="s">
        <v>24</v>
      </c>
    </row>
    <row r="242" spans="1:9" x14ac:dyDescent="0.3">
      <c r="A242">
        <v>10700</v>
      </c>
      <c r="B242" s="1">
        <v>44922</v>
      </c>
      <c r="C242" t="s">
        <v>21</v>
      </c>
      <c r="D242">
        <v>12.99</v>
      </c>
      <c r="E242">
        <v>692.84</v>
      </c>
      <c r="F242" t="s">
        <v>18</v>
      </c>
      <c r="G242" t="s">
        <v>37</v>
      </c>
      <c r="H242" t="s">
        <v>23</v>
      </c>
      <c r="I242" t="s">
        <v>24</v>
      </c>
    </row>
    <row r="243" spans="1:9" x14ac:dyDescent="0.3">
      <c r="A243">
        <v>10701</v>
      </c>
      <c r="B243" s="1">
        <v>44922</v>
      </c>
      <c r="C243" t="s">
        <v>25</v>
      </c>
      <c r="D243">
        <v>9.9499999999999993</v>
      </c>
      <c r="E243">
        <v>281.41000000000003</v>
      </c>
      <c r="F243" t="s">
        <v>18</v>
      </c>
      <c r="G243" t="s">
        <v>37</v>
      </c>
      <c r="H243" t="s">
        <v>23</v>
      </c>
      <c r="I243" t="s">
        <v>24</v>
      </c>
    </row>
    <row r="244" spans="1:9" x14ac:dyDescent="0.3">
      <c r="A244">
        <v>10702</v>
      </c>
      <c r="B244" s="1">
        <v>44922</v>
      </c>
      <c r="C244" t="s">
        <v>9</v>
      </c>
      <c r="D244">
        <v>3.49</v>
      </c>
      <c r="E244">
        <v>630.37</v>
      </c>
      <c r="F244" t="s">
        <v>18</v>
      </c>
      <c r="G244" t="s">
        <v>37</v>
      </c>
      <c r="H244" t="s">
        <v>23</v>
      </c>
      <c r="I244" t="s">
        <v>24</v>
      </c>
    </row>
    <row r="245" spans="1:9" x14ac:dyDescent="0.3">
      <c r="A245">
        <v>10703</v>
      </c>
      <c r="B245" s="1">
        <v>44922</v>
      </c>
      <c r="C245" t="s">
        <v>14</v>
      </c>
      <c r="D245">
        <v>2.95</v>
      </c>
      <c r="E245">
        <v>677.97</v>
      </c>
      <c r="F245" t="s">
        <v>18</v>
      </c>
      <c r="G245" t="s">
        <v>11</v>
      </c>
      <c r="H245" t="s">
        <v>23</v>
      </c>
      <c r="I245" t="s">
        <v>24</v>
      </c>
    </row>
    <row r="246" spans="1:9" x14ac:dyDescent="0.3">
      <c r="A246">
        <v>10704</v>
      </c>
      <c r="B246" s="1">
        <v>44922</v>
      </c>
      <c r="C246" t="s">
        <v>17</v>
      </c>
      <c r="D246">
        <v>4.99</v>
      </c>
      <c r="E246">
        <v>200.4</v>
      </c>
      <c r="F246" t="s">
        <v>36</v>
      </c>
      <c r="G246" t="s">
        <v>11</v>
      </c>
      <c r="H246" t="s">
        <v>23</v>
      </c>
      <c r="I246" t="s">
        <v>24</v>
      </c>
    </row>
    <row r="247" spans="1:9" x14ac:dyDescent="0.3">
      <c r="A247">
        <v>10705</v>
      </c>
      <c r="B247" s="1">
        <v>44923</v>
      </c>
      <c r="C247" t="s">
        <v>21</v>
      </c>
      <c r="D247">
        <v>12.99</v>
      </c>
      <c r="E247">
        <v>723.63</v>
      </c>
      <c r="F247" t="s">
        <v>36</v>
      </c>
      <c r="G247" t="s">
        <v>11</v>
      </c>
      <c r="H247" t="s">
        <v>23</v>
      </c>
      <c r="I247" t="s">
        <v>24</v>
      </c>
    </row>
    <row r="248" spans="1:9" x14ac:dyDescent="0.3">
      <c r="A248">
        <v>10706</v>
      </c>
      <c r="B248" s="1">
        <v>44923</v>
      </c>
      <c r="C248" t="s">
        <v>25</v>
      </c>
      <c r="D248">
        <v>9.9499999999999993</v>
      </c>
      <c r="E248">
        <v>301.51</v>
      </c>
      <c r="F248" t="s">
        <v>36</v>
      </c>
      <c r="G248" t="s">
        <v>11</v>
      </c>
      <c r="H248" t="s">
        <v>23</v>
      </c>
      <c r="I248" t="s">
        <v>24</v>
      </c>
    </row>
    <row r="249" spans="1:9" x14ac:dyDescent="0.3">
      <c r="A249">
        <v>10707</v>
      </c>
      <c r="B249" s="1">
        <v>44923</v>
      </c>
      <c r="C249" t="s">
        <v>9</v>
      </c>
      <c r="D249">
        <v>3.49</v>
      </c>
      <c r="E249">
        <v>630.37</v>
      </c>
      <c r="F249" t="s">
        <v>36</v>
      </c>
      <c r="G249" t="s">
        <v>11</v>
      </c>
      <c r="H249" t="s">
        <v>23</v>
      </c>
      <c r="I249" t="s">
        <v>24</v>
      </c>
    </row>
    <row r="250" spans="1:9" x14ac:dyDescent="0.3">
      <c r="A250">
        <v>10708</v>
      </c>
      <c r="B250" s="1">
        <v>44923</v>
      </c>
      <c r="C250" t="s">
        <v>14</v>
      </c>
      <c r="D250">
        <v>2.95</v>
      </c>
      <c r="E250">
        <v>677.97</v>
      </c>
      <c r="F250" t="s">
        <v>36</v>
      </c>
      <c r="G250" t="s">
        <v>11</v>
      </c>
      <c r="H250" t="s">
        <v>23</v>
      </c>
      <c r="I250" t="s">
        <v>24</v>
      </c>
    </row>
    <row r="251" spans="1:9" x14ac:dyDescent="0.3">
      <c r="A251">
        <v>10709</v>
      </c>
      <c r="B251" s="1">
        <v>44923</v>
      </c>
      <c r="C251" t="s">
        <v>17</v>
      </c>
      <c r="D251">
        <v>4.99</v>
      </c>
      <c r="E251">
        <v>200.4</v>
      </c>
      <c r="F251" t="s">
        <v>36</v>
      </c>
      <c r="G251" t="s">
        <v>11</v>
      </c>
      <c r="H251" t="s">
        <v>23</v>
      </c>
      <c r="I251" t="s">
        <v>24</v>
      </c>
    </row>
    <row r="252" spans="1:9" x14ac:dyDescent="0.3">
      <c r="A252">
        <v>10710</v>
      </c>
      <c r="B252" s="1">
        <v>44924</v>
      </c>
      <c r="C252" t="s">
        <v>21</v>
      </c>
      <c r="D252">
        <v>12.99</v>
      </c>
      <c r="E252">
        <v>754.43</v>
      </c>
      <c r="F252" t="s">
        <v>36</v>
      </c>
      <c r="G252" t="s">
        <v>11</v>
      </c>
      <c r="H252" t="s">
        <v>23</v>
      </c>
      <c r="I252" t="s">
        <v>24</v>
      </c>
    </row>
    <row r="253" spans="1:9" x14ac:dyDescent="0.3">
      <c r="A253">
        <v>10711</v>
      </c>
      <c r="B253" s="1">
        <v>44924</v>
      </c>
      <c r="C253" t="s">
        <v>25</v>
      </c>
      <c r="D253">
        <v>9.9499999999999993</v>
      </c>
      <c r="E253">
        <v>281.41000000000003</v>
      </c>
      <c r="F253" t="s">
        <v>36</v>
      </c>
      <c r="G253" t="s">
        <v>11</v>
      </c>
      <c r="H253" t="s">
        <v>23</v>
      </c>
      <c r="I253" t="s">
        <v>24</v>
      </c>
    </row>
    <row r="254" spans="1:9" x14ac:dyDescent="0.3">
      <c r="A254">
        <v>10712</v>
      </c>
      <c r="B254" s="1">
        <v>44924</v>
      </c>
      <c r="C254" t="s">
        <v>9</v>
      </c>
      <c r="D254">
        <v>3.49</v>
      </c>
      <c r="E254">
        <v>630.37</v>
      </c>
      <c r="F254" t="s">
        <v>36</v>
      </c>
      <c r="G254" t="s">
        <v>11</v>
      </c>
      <c r="H254" t="s">
        <v>23</v>
      </c>
      <c r="I254" t="s">
        <v>24</v>
      </c>
    </row>
    <row r="255" spans="1:9" x14ac:dyDescent="0.3">
      <c r="A255">
        <v>10713</v>
      </c>
      <c r="B255" s="1">
        <v>44924</v>
      </c>
      <c r="C255" t="s">
        <v>14</v>
      </c>
      <c r="D255">
        <v>2.95</v>
      </c>
      <c r="E255">
        <v>677.97</v>
      </c>
      <c r="F255" t="s">
        <v>36</v>
      </c>
      <c r="G255" t="s">
        <v>11</v>
      </c>
      <c r="H255" t="s">
        <v>23</v>
      </c>
      <c r="I255"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63620-4CDE-47B0-B45B-ECA52824F524}">
  <dimension ref="A1:O255"/>
  <sheetViews>
    <sheetView workbookViewId="0">
      <pane ySplit="1" topLeftCell="A2" activePane="bottomLeft" state="frozen"/>
      <selection pane="bottomLeft" activeCell="E7" sqref="E7"/>
    </sheetView>
  </sheetViews>
  <sheetFormatPr defaultRowHeight="14.4" x14ac:dyDescent="0.3"/>
  <cols>
    <col min="1" max="1" width="9" bestFit="1" customWidth="1"/>
    <col min="2" max="2" width="10.5546875" style="1" bestFit="1" customWidth="1"/>
    <col min="3" max="3" width="10.5546875" style="1" customWidth="1"/>
    <col min="4" max="4" width="17.44140625" bestFit="1" customWidth="1"/>
    <col min="5" max="5" width="8.88671875" style="7" bestFit="1" customWidth="1"/>
    <col min="6" max="6" width="9.21875" style="9" bestFit="1" customWidth="1"/>
    <col min="7" max="7" width="12.33203125" style="5" bestFit="1" customWidth="1"/>
    <col min="8" max="8" width="14.5546875" bestFit="1" customWidth="1"/>
    <col min="9" max="9" width="17.44140625" bestFit="1" customWidth="1"/>
    <col min="10" max="10" width="12.21875" bestFit="1" customWidth="1"/>
    <col min="11" max="11" width="7.109375" bestFit="1" customWidth="1"/>
    <col min="14" max="14" width="13" customWidth="1"/>
  </cols>
  <sheetData>
    <row r="1" spans="1:15" ht="15.6" x14ac:dyDescent="0.3">
      <c r="A1" s="10" t="s">
        <v>0</v>
      </c>
      <c r="B1" s="11" t="s">
        <v>1</v>
      </c>
      <c r="C1" s="11" t="s">
        <v>49</v>
      </c>
      <c r="D1" s="10" t="s">
        <v>2</v>
      </c>
      <c r="E1" s="12" t="s">
        <v>3</v>
      </c>
      <c r="F1" s="13" t="s">
        <v>4</v>
      </c>
      <c r="G1" s="14" t="s">
        <v>54</v>
      </c>
      <c r="H1" s="10" t="s">
        <v>5</v>
      </c>
      <c r="I1" s="10" t="s">
        <v>6</v>
      </c>
      <c r="J1" s="10" t="s">
        <v>7</v>
      </c>
      <c r="K1" s="10" t="s">
        <v>8</v>
      </c>
    </row>
    <row r="2" spans="1:15" x14ac:dyDescent="0.3">
      <c r="A2" s="2">
        <v>10452</v>
      </c>
      <c r="B2" s="3">
        <v>44872</v>
      </c>
      <c r="C2" s="3" t="str">
        <f>TEXT(B2,"mmm")</f>
        <v>Nov</v>
      </c>
      <c r="D2" s="2" t="s">
        <v>9</v>
      </c>
      <c r="E2" s="6">
        <v>3.49</v>
      </c>
      <c r="F2" s="8">
        <v>573.07000000000005</v>
      </c>
      <c r="G2" s="4">
        <f>E2*F2</f>
        <v>2000.0143000000003</v>
      </c>
      <c r="H2" s="2" t="s">
        <v>10</v>
      </c>
      <c r="I2" s="2" t="s">
        <v>11</v>
      </c>
      <c r="J2" s="2" t="s">
        <v>38</v>
      </c>
      <c r="K2" s="2" t="s">
        <v>13</v>
      </c>
    </row>
    <row r="3" spans="1:15" x14ac:dyDescent="0.3">
      <c r="A3" s="2">
        <v>10453</v>
      </c>
      <c r="B3" s="3">
        <v>44872</v>
      </c>
      <c r="C3" s="3" t="str">
        <f t="shared" ref="C3:C66" si="0">TEXT(B3,"mmm")</f>
        <v>Nov</v>
      </c>
      <c r="D3" s="2" t="s">
        <v>14</v>
      </c>
      <c r="E3" s="6">
        <v>2.95</v>
      </c>
      <c r="F3" s="8">
        <v>745.76</v>
      </c>
      <c r="G3" s="4">
        <f t="shared" ref="G3:G66" si="1">E3*F3</f>
        <v>2199.9920000000002</v>
      </c>
      <c r="H3" s="2" t="s">
        <v>10</v>
      </c>
      <c r="I3" s="2" t="s">
        <v>11</v>
      </c>
      <c r="J3" s="2" t="s">
        <v>31</v>
      </c>
      <c r="K3" s="2" t="s">
        <v>16</v>
      </c>
    </row>
    <row r="4" spans="1:15" x14ac:dyDescent="0.3">
      <c r="A4" s="2">
        <v>10454</v>
      </c>
      <c r="B4" s="3">
        <v>44872</v>
      </c>
      <c r="C4" s="3" t="str">
        <f t="shared" si="0"/>
        <v>Nov</v>
      </c>
      <c r="D4" s="2" t="s">
        <v>17</v>
      </c>
      <c r="E4" s="6">
        <v>4.99</v>
      </c>
      <c r="F4" s="8">
        <v>200.4</v>
      </c>
      <c r="G4" s="4">
        <f t="shared" si="1"/>
        <v>999.99600000000009</v>
      </c>
      <c r="H4" s="2" t="s">
        <v>18</v>
      </c>
      <c r="I4" s="2" t="s">
        <v>11</v>
      </c>
      <c r="J4" s="2" t="s">
        <v>35</v>
      </c>
      <c r="K4" s="2" t="s">
        <v>20</v>
      </c>
    </row>
    <row r="5" spans="1:15" x14ac:dyDescent="0.3">
      <c r="A5" s="2">
        <v>10455</v>
      </c>
      <c r="B5" s="3">
        <v>44873</v>
      </c>
      <c r="C5" s="3" t="str">
        <f t="shared" si="0"/>
        <v>Nov</v>
      </c>
      <c r="D5" s="2" t="s">
        <v>21</v>
      </c>
      <c r="E5" s="6">
        <v>12.99</v>
      </c>
      <c r="F5" s="8">
        <v>569.66999999999996</v>
      </c>
      <c r="G5" s="4">
        <f t="shared" si="1"/>
        <v>7400.0132999999996</v>
      </c>
      <c r="H5" s="2" t="s">
        <v>18</v>
      </c>
      <c r="I5" s="2" t="s">
        <v>22</v>
      </c>
      <c r="J5" s="2" t="s">
        <v>23</v>
      </c>
      <c r="K5" s="2" t="s">
        <v>24</v>
      </c>
    </row>
    <row r="6" spans="1:15" x14ac:dyDescent="0.3">
      <c r="A6" s="2">
        <v>10456</v>
      </c>
      <c r="B6" s="3">
        <v>44873</v>
      </c>
      <c r="C6" s="3" t="str">
        <f t="shared" si="0"/>
        <v>Nov</v>
      </c>
      <c r="D6" s="2" t="s">
        <v>25</v>
      </c>
      <c r="E6" s="6">
        <v>9.9499999999999993</v>
      </c>
      <c r="F6" s="8">
        <v>201.01</v>
      </c>
      <c r="G6" s="4">
        <f t="shared" si="1"/>
        <v>2000.0494999999999</v>
      </c>
      <c r="H6" s="2" t="s">
        <v>18</v>
      </c>
      <c r="I6" s="2" t="s">
        <v>22</v>
      </c>
      <c r="J6" s="2" t="s">
        <v>23</v>
      </c>
      <c r="K6" s="2" t="s">
        <v>24</v>
      </c>
      <c r="N6" t="s">
        <v>55</v>
      </c>
      <c r="O6" s="9">
        <f>COUNT(A2:A255)</f>
        <v>254</v>
      </c>
    </row>
    <row r="7" spans="1:15" x14ac:dyDescent="0.3">
      <c r="A7" s="2">
        <v>10457</v>
      </c>
      <c r="B7" s="3">
        <v>44873</v>
      </c>
      <c r="C7" s="3" t="str">
        <f t="shared" si="0"/>
        <v>Nov</v>
      </c>
      <c r="D7" s="2" t="s">
        <v>9</v>
      </c>
      <c r="E7" s="6">
        <v>3.49</v>
      </c>
      <c r="F7" s="8">
        <v>573.07000000000005</v>
      </c>
      <c r="G7" s="4">
        <f t="shared" si="1"/>
        <v>2000.0143000000003</v>
      </c>
      <c r="H7" s="2" t="s">
        <v>18</v>
      </c>
      <c r="I7" s="2" t="s">
        <v>22</v>
      </c>
      <c r="J7" s="2" t="s">
        <v>28</v>
      </c>
      <c r="K7" s="2" t="s">
        <v>27</v>
      </c>
      <c r="O7" s="9"/>
    </row>
    <row r="8" spans="1:15" x14ac:dyDescent="0.3">
      <c r="A8" s="2">
        <v>10459</v>
      </c>
      <c r="B8" s="3">
        <v>44873</v>
      </c>
      <c r="C8" s="3" t="str">
        <f t="shared" si="0"/>
        <v>Nov</v>
      </c>
      <c r="D8" s="2" t="s">
        <v>17</v>
      </c>
      <c r="E8" s="6">
        <v>4.99</v>
      </c>
      <c r="F8" s="8">
        <v>200.4</v>
      </c>
      <c r="G8" s="4">
        <f t="shared" si="1"/>
        <v>999.99600000000009</v>
      </c>
      <c r="H8" s="2" t="s">
        <v>18</v>
      </c>
      <c r="I8" s="2" t="s">
        <v>22</v>
      </c>
      <c r="J8" s="2" t="s">
        <v>23</v>
      </c>
      <c r="K8" s="2" t="s">
        <v>24</v>
      </c>
    </row>
    <row r="9" spans="1:15" x14ac:dyDescent="0.3">
      <c r="A9" s="2">
        <v>10460</v>
      </c>
      <c r="B9" s="3">
        <v>44874</v>
      </c>
      <c r="C9" s="3" t="str">
        <f t="shared" si="0"/>
        <v>Nov</v>
      </c>
      <c r="D9" s="2" t="s">
        <v>21</v>
      </c>
      <c r="E9" s="6">
        <v>12.99</v>
      </c>
      <c r="F9" s="8">
        <v>554.27</v>
      </c>
      <c r="G9" s="4">
        <f t="shared" si="1"/>
        <v>7199.9673000000003</v>
      </c>
      <c r="H9" s="2" t="s">
        <v>18</v>
      </c>
      <c r="I9" s="2" t="s">
        <v>22</v>
      </c>
      <c r="J9" s="2" t="s">
        <v>28</v>
      </c>
      <c r="K9" s="2" t="s">
        <v>27</v>
      </c>
    </row>
    <row r="10" spans="1:15" x14ac:dyDescent="0.3">
      <c r="A10" s="2">
        <v>10461</v>
      </c>
      <c r="B10" s="3">
        <v>44874</v>
      </c>
      <c r="C10" s="3" t="str">
        <f t="shared" si="0"/>
        <v>Nov</v>
      </c>
      <c r="D10" s="2" t="s">
        <v>25</v>
      </c>
      <c r="E10" s="6">
        <v>9.9499999999999993</v>
      </c>
      <c r="F10" s="8">
        <v>201.01</v>
      </c>
      <c r="G10" s="4">
        <f t="shared" si="1"/>
        <v>2000.0494999999999</v>
      </c>
      <c r="H10" s="2" t="s">
        <v>18</v>
      </c>
      <c r="I10" s="2" t="s">
        <v>22</v>
      </c>
      <c r="J10" s="2" t="s">
        <v>28</v>
      </c>
      <c r="K10" s="2" t="s">
        <v>27</v>
      </c>
    </row>
    <row r="11" spans="1:15" x14ac:dyDescent="0.3">
      <c r="A11" s="2">
        <v>10462</v>
      </c>
      <c r="B11" s="3">
        <v>44874</v>
      </c>
      <c r="C11" s="3" t="str">
        <f t="shared" si="0"/>
        <v>Nov</v>
      </c>
      <c r="D11" s="2" t="s">
        <v>9</v>
      </c>
      <c r="E11" s="6">
        <v>3.49</v>
      </c>
      <c r="F11" s="8">
        <v>573.07000000000005</v>
      </c>
      <c r="G11" s="4">
        <f t="shared" si="1"/>
        <v>2000.0143000000003</v>
      </c>
      <c r="H11" s="2" t="s">
        <v>18</v>
      </c>
      <c r="I11" s="2" t="s">
        <v>22</v>
      </c>
      <c r="J11" s="2" t="s">
        <v>28</v>
      </c>
      <c r="K11" s="2" t="s">
        <v>27</v>
      </c>
    </row>
    <row r="12" spans="1:15" x14ac:dyDescent="0.3">
      <c r="A12" s="2">
        <v>10463</v>
      </c>
      <c r="B12" s="3">
        <v>44874</v>
      </c>
      <c r="C12" s="3" t="str">
        <f t="shared" si="0"/>
        <v>Nov</v>
      </c>
      <c r="D12" s="2" t="s">
        <v>14</v>
      </c>
      <c r="E12" s="6">
        <v>2.95</v>
      </c>
      <c r="F12" s="8">
        <v>677.97</v>
      </c>
      <c r="G12" s="4">
        <f t="shared" si="1"/>
        <v>2000.0115000000003</v>
      </c>
      <c r="H12" s="2" t="s">
        <v>18</v>
      </c>
      <c r="I12" s="2" t="s">
        <v>22</v>
      </c>
      <c r="J12" s="2" t="s">
        <v>28</v>
      </c>
      <c r="K12" s="2" t="s">
        <v>27</v>
      </c>
    </row>
    <row r="13" spans="1:15" x14ac:dyDescent="0.3">
      <c r="A13" s="2">
        <v>10464</v>
      </c>
      <c r="B13" s="3">
        <v>44874</v>
      </c>
      <c r="C13" s="3" t="str">
        <f t="shared" si="0"/>
        <v>Nov</v>
      </c>
      <c r="D13" s="2" t="s">
        <v>17</v>
      </c>
      <c r="E13" s="6">
        <v>4.99</v>
      </c>
      <c r="F13" s="8">
        <v>200.4</v>
      </c>
      <c r="G13" s="4">
        <f t="shared" si="1"/>
        <v>999.99600000000009</v>
      </c>
      <c r="H13" s="2" t="s">
        <v>18</v>
      </c>
      <c r="I13" s="2" t="s">
        <v>22</v>
      </c>
      <c r="J13" s="2" t="s">
        <v>28</v>
      </c>
      <c r="K13" s="2" t="s">
        <v>27</v>
      </c>
    </row>
    <row r="14" spans="1:15" x14ac:dyDescent="0.3">
      <c r="A14" s="2">
        <v>10465</v>
      </c>
      <c r="B14" s="3">
        <v>44875</v>
      </c>
      <c r="C14" s="3" t="str">
        <f t="shared" si="0"/>
        <v>Nov</v>
      </c>
      <c r="D14" s="2" t="s">
        <v>21</v>
      </c>
      <c r="E14" s="6">
        <v>12.99</v>
      </c>
      <c r="F14" s="8">
        <v>554.27</v>
      </c>
      <c r="G14" s="4">
        <f t="shared" si="1"/>
        <v>7199.9673000000003</v>
      </c>
      <c r="H14" s="2" t="s">
        <v>18</v>
      </c>
      <c r="I14" s="2" t="s">
        <v>22</v>
      </c>
      <c r="J14" s="2" t="s">
        <v>31</v>
      </c>
      <c r="K14" s="2" t="s">
        <v>16</v>
      </c>
    </row>
    <row r="15" spans="1:15" x14ac:dyDescent="0.3">
      <c r="A15" s="2">
        <v>10466</v>
      </c>
      <c r="B15" s="3">
        <v>44875</v>
      </c>
      <c r="C15" s="3" t="str">
        <f t="shared" si="0"/>
        <v>Nov</v>
      </c>
      <c r="D15" s="2" t="s">
        <v>25</v>
      </c>
      <c r="E15" s="6">
        <v>9.9499999999999993</v>
      </c>
      <c r="F15" s="8">
        <v>201.01</v>
      </c>
      <c r="G15" s="4">
        <f t="shared" si="1"/>
        <v>2000.0494999999999</v>
      </c>
      <c r="H15" s="2" t="s">
        <v>18</v>
      </c>
      <c r="I15" s="2" t="s">
        <v>22</v>
      </c>
      <c r="J15" s="2" t="s">
        <v>31</v>
      </c>
      <c r="K15" s="2" t="s">
        <v>16</v>
      </c>
    </row>
    <row r="16" spans="1:15" x14ac:dyDescent="0.3">
      <c r="A16" s="2">
        <v>10467</v>
      </c>
      <c r="B16" s="3">
        <v>44875</v>
      </c>
      <c r="C16" s="3" t="str">
        <f t="shared" si="0"/>
        <v>Nov</v>
      </c>
      <c r="D16" s="2" t="s">
        <v>9</v>
      </c>
      <c r="E16" s="6">
        <v>3.49</v>
      </c>
      <c r="F16" s="8">
        <v>573.07000000000005</v>
      </c>
      <c r="G16" s="4">
        <f t="shared" si="1"/>
        <v>2000.0143000000003</v>
      </c>
      <c r="H16" s="2" t="s">
        <v>18</v>
      </c>
      <c r="I16" s="2" t="s">
        <v>22</v>
      </c>
      <c r="J16" s="2" t="s">
        <v>31</v>
      </c>
      <c r="K16" s="2" t="s">
        <v>16</v>
      </c>
    </row>
    <row r="17" spans="1:11" x14ac:dyDescent="0.3">
      <c r="A17" s="2">
        <v>10468</v>
      </c>
      <c r="B17" s="3">
        <v>44875</v>
      </c>
      <c r="C17" s="3" t="str">
        <f t="shared" si="0"/>
        <v>Nov</v>
      </c>
      <c r="D17" s="2" t="s">
        <v>14</v>
      </c>
      <c r="E17" s="6">
        <v>2.95</v>
      </c>
      <c r="F17" s="8">
        <v>677.97</v>
      </c>
      <c r="G17" s="4">
        <f t="shared" si="1"/>
        <v>2000.0115000000003</v>
      </c>
      <c r="H17" s="2" t="s">
        <v>18</v>
      </c>
      <c r="I17" s="2" t="s">
        <v>22</v>
      </c>
      <c r="J17" s="2" t="s">
        <v>31</v>
      </c>
      <c r="K17" s="2" t="s">
        <v>16</v>
      </c>
    </row>
    <row r="18" spans="1:11" x14ac:dyDescent="0.3">
      <c r="A18" s="2">
        <v>10470</v>
      </c>
      <c r="B18" s="3">
        <v>44876</v>
      </c>
      <c r="C18" s="3" t="str">
        <f t="shared" si="0"/>
        <v>Nov</v>
      </c>
      <c r="D18" s="2" t="s">
        <v>21</v>
      </c>
      <c r="E18" s="6">
        <v>12.99</v>
      </c>
      <c r="F18" s="8">
        <v>554.27</v>
      </c>
      <c r="G18" s="4">
        <f t="shared" si="1"/>
        <v>7199.9673000000003</v>
      </c>
      <c r="H18" s="2" t="s">
        <v>18</v>
      </c>
      <c r="I18" s="2" t="s">
        <v>22</v>
      </c>
      <c r="J18" s="2" t="s">
        <v>31</v>
      </c>
      <c r="K18" s="2" t="s">
        <v>16</v>
      </c>
    </row>
    <row r="19" spans="1:11" x14ac:dyDescent="0.3">
      <c r="A19" s="2">
        <v>10471</v>
      </c>
      <c r="B19" s="3">
        <v>44876</v>
      </c>
      <c r="C19" s="3" t="str">
        <f t="shared" si="0"/>
        <v>Nov</v>
      </c>
      <c r="D19" s="2" t="s">
        <v>25</v>
      </c>
      <c r="E19" s="6">
        <v>9.9499999999999993</v>
      </c>
      <c r="F19" s="8">
        <v>201.01</v>
      </c>
      <c r="G19" s="4">
        <f t="shared" si="1"/>
        <v>2000.0494999999999</v>
      </c>
      <c r="H19" s="2" t="s">
        <v>18</v>
      </c>
      <c r="I19" s="2" t="s">
        <v>22</v>
      </c>
      <c r="J19" s="2" t="s">
        <v>31</v>
      </c>
      <c r="K19" s="2" t="s">
        <v>16</v>
      </c>
    </row>
    <row r="20" spans="1:11" x14ac:dyDescent="0.3">
      <c r="A20" s="2">
        <v>10472</v>
      </c>
      <c r="B20" s="3">
        <v>44876</v>
      </c>
      <c r="C20" s="3" t="str">
        <f t="shared" si="0"/>
        <v>Nov</v>
      </c>
      <c r="D20" s="2" t="s">
        <v>9</v>
      </c>
      <c r="E20" s="6">
        <v>3.49</v>
      </c>
      <c r="F20" s="8">
        <v>630.37</v>
      </c>
      <c r="G20" s="4">
        <f t="shared" si="1"/>
        <v>2199.9913000000001</v>
      </c>
      <c r="H20" s="2" t="s">
        <v>18</v>
      </c>
      <c r="I20" s="2" t="s">
        <v>22</v>
      </c>
      <c r="J20" s="2" t="s">
        <v>31</v>
      </c>
      <c r="K20" s="2" t="s">
        <v>16</v>
      </c>
    </row>
    <row r="21" spans="1:11" x14ac:dyDescent="0.3">
      <c r="A21" s="2">
        <v>10473</v>
      </c>
      <c r="B21" s="3">
        <v>44876</v>
      </c>
      <c r="C21" s="3" t="str">
        <f t="shared" si="0"/>
        <v>Nov</v>
      </c>
      <c r="D21" s="2" t="s">
        <v>14</v>
      </c>
      <c r="E21" s="6">
        <v>2.95</v>
      </c>
      <c r="F21" s="8">
        <v>677.97</v>
      </c>
      <c r="G21" s="4">
        <f t="shared" si="1"/>
        <v>2000.0115000000003</v>
      </c>
      <c r="H21" s="2" t="s">
        <v>18</v>
      </c>
      <c r="I21" s="2" t="s">
        <v>22</v>
      </c>
      <c r="J21" s="2" t="s">
        <v>31</v>
      </c>
      <c r="K21" s="2" t="s">
        <v>16</v>
      </c>
    </row>
    <row r="22" spans="1:11" x14ac:dyDescent="0.3">
      <c r="A22" s="2">
        <v>10474</v>
      </c>
      <c r="B22" s="3">
        <v>44876</v>
      </c>
      <c r="C22" s="3" t="str">
        <f t="shared" si="0"/>
        <v>Nov</v>
      </c>
      <c r="D22" s="2" t="s">
        <v>17</v>
      </c>
      <c r="E22" s="6">
        <v>4.99</v>
      </c>
      <c r="F22" s="8">
        <v>200.4</v>
      </c>
      <c r="G22" s="4">
        <f t="shared" si="1"/>
        <v>999.99600000000009</v>
      </c>
      <c r="H22" s="2" t="s">
        <v>18</v>
      </c>
      <c r="I22" s="2" t="s">
        <v>22</v>
      </c>
      <c r="J22" s="2" t="s">
        <v>31</v>
      </c>
      <c r="K22" s="2" t="s">
        <v>16</v>
      </c>
    </row>
    <row r="23" spans="1:11" x14ac:dyDescent="0.3">
      <c r="A23" s="2">
        <v>10475</v>
      </c>
      <c r="B23" s="3">
        <v>44877</v>
      </c>
      <c r="C23" s="3" t="str">
        <f t="shared" si="0"/>
        <v>Nov</v>
      </c>
      <c r="D23" s="2" t="s">
        <v>21</v>
      </c>
      <c r="E23" s="6">
        <v>12.99</v>
      </c>
      <c r="F23" s="8">
        <v>523.48</v>
      </c>
      <c r="G23" s="4">
        <f t="shared" si="1"/>
        <v>6800.0052000000005</v>
      </c>
      <c r="H23" s="2" t="s">
        <v>18</v>
      </c>
      <c r="I23" s="2" t="s">
        <v>22</v>
      </c>
      <c r="J23" s="2" t="s">
        <v>31</v>
      </c>
      <c r="K23" s="2" t="s">
        <v>16</v>
      </c>
    </row>
    <row r="24" spans="1:11" x14ac:dyDescent="0.3">
      <c r="A24" s="2">
        <v>10476</v>
      </c>
      <c r="B24" s="3">
        <v>44877</v>
      </c>
      <c r="C24" s="3" t="str">
        <f t="shared" si="0"/>
        <v>Nov</v>
      </c>
      <c r="D24" s="2" t="s">
        <v>25</v>
      </c>
      <c r="E24" s="6">
        <v>9.9499999999999993</v>
      </c>
      <c r="F24" s="8">
        <v>201.01</v>
      </c>
      <c r="G24" s="4">
        <f t="shared" si="1"/>
        <v>2000.0494999999999</v>
      </c>
      <c r="H24" s="2" t="s">
        <v>18</v>
      </c>
      <c r="I24" s="2" t="s">
        <v>22</v>
      </c>
      <c r="J24" s="2" t="s">
        <v>31</v>
      </c>
      <c r="K24" s="2" t="s">
        <v>16</v>
      </c>
    </row>
    <row r="25" spans="1:11" x14ac:dyDescent="0.3">
      <c r="A25" s="2">
        <v>10477</v>
      </c>
      <c r="B25" s="3">
        <v>44877</v>
      </c>
      <c r="C25" s="3" t="str">
        <f t="shared" si="0"/>
        <v>Nov</v>
      </c>
      <c r="D25" s="2" t="s">
        <v>9</v>
      </c>
      <c r="E25" s="6">
        <v>3.49</v>
      </c>
      <c r="F25" s="8">
        <v>630.37</v>
      </c>
      <c r="G25" s="4">
        <f t="shared" si="1"/>
        <v>2199.9913000000001</v>
      </c>
      <c r="H25" s="2" t="s">
        <v>18</v>
      </c>
      <c r="I25" s="2" t="s">
        <v>22</v>
      </c>
      <c r="J25" s="2" t="s">
        <v>31</v>
      </c>
      <c r="K25" s="2" t="s">
        <v>16</v>
      </c>
    </row>
    <row r="26" spans="1:11" x14ac:dyDescent="0.3">
      <c r="A26" s="2">
        <v>10478</v>
      </c>
      <c r="B26" s="3">
        <v>44877</v>
      </c>
      <c r="C26" s="3" t="str">
        <f t="shared" si="0"/>
        <v>Nov</v>
      </c>
      <c r="D26" s="2" t="s">
        <v>14</v>
      </c>
      <c r="E26" s="6">
        <v>2.95</v>
      </c>
      <c r="F26" s="8">
        <v>677.97</v>
      </c>
      <c r="G26" s="4">
        <f t="shared" si="1"/>
        <v>2000.0115000000003</v>
      </c>
      <c r="H26" s="2" t="s">
        <v>18</v>
      </c>
      <c r="I26" s="2" t="s">
        <v>22</v>
      </c>
      <c r="J26" s="2" t="s">
        <v>31</v>
      </c>
      <c r="K26" s="2" t="s">
        <v>16</v>
      </c>
    </row>
    <row r="27" spans="1:11" x14ac:dyDescent="0.3">
      <c r="A27" s="2">
        <v>10479</v>
      </c>
      <c r="B27" s="3">
        <v>44877</v>
      </c>
      <c r="C27" s="3" t="str">
        <f t="shared" si="0"/>
        <v>Nov</v>
      </c>
      <c r="D27" s="2" t="s">
        <v>17</v>
      </c>
      <c r="E27" s="6">
        <v>4.99</v>
      </c>
      <c r="F27" s="8">
        <v>200.4</v>
      </c>
      <c r="G27" s="4">
        <f t="shared" si="1"/>
        <v>999.99600000000009</v>
      </c>
      <c r="H27" s="2" t="s">
        <v>18</v>
      </c>
      <c r="I27" s="2" t="s">
        <v>22</v>
      </c>
      <c r="J27" s="2" t="s">
        <v>31</v>
      </c>
      <c r="K27" s="2" t="s">
        <v>16</v>
      </c>
    </row>
    <row r="28" spans="1:11" x14ac:dyDescent="0.3">
      <c r="A28" s="2">
        <v>10480</v>
      </c>
      <c r="B28" s="3">
        <v>44878</v>
      </c>
      <c r="C28" s="3" t="str">
        <f t="shared" si="0"/>
        <v>Nov</v>
      </c>
      <c r="D28" s="2" t="s">
        <v>21</v>
      </c>
      <c r="E28" s="6">
        <v>12.99</v>
      </c>
      <c r="F28" s="8">
        <v>508.08</v>
      </c>
      <c r="G28" s="4">
        <f t="shared" si="1"/>
        <v>6599.9592000000002</v>
      </c>
      <c r="H28" s="2" t="s">
        <v>18</v>
      </c>
      <c r="I28" s="2" t="s">
        <v>22</v>
      </c>
      <c r="J28" s="2" t="s">
        <v>31</v>
      </c>
      <c r="K28" s="2" t="s">
        <v>16</v>
      </c>
    </row>
    <row r="29" spans="1:11" x14ac:dyDescent="0.3">
      <c r="A29" s="2">
        <v>10481</v>
      </c>
      <c r="B29" s="3">
        <v>44878</v>
      </c>
      <c r="C29" s="3" t="str">
        <f t="shared" si="0"/>
        <v>Nov</v>
      </c>
      <c r="D29" s="2" t="s">
        <v>25</v>
      </c>
      <c r="E29" s="6">
        <v>9.9499999999999993</v>
      </c>
      <c r="F29" s="8">
        <v>201.01</v>
      </c>
      <c r="G29" s="4">
        <f t="shared" si="1"/>
        <v>2000.0494999999999</v>
      </c>
      <c r="H29" s="2" t="s">
        <v>18</v>
      </c>
      <c r="I29" s="2" t="s">
        <v>22</v>
      </c>
      <c r="J29" s="2" t="s">
        <v>31</v>
      </c>
      <c r="K29" s="2" t="s">
        <v>16</v>
      </c>
    </row>
    <row r="30" spans="1:11" x14ac:dyDescent="0.3">
      <c r="A30" s="2">
        <v>10482</v>
      </c>
      <c r="B30" s="3">
        <v>44878</v>
      </c>
      <c r="C30" s="3" t="str">
        <f t="shared" si="0"/>
        <v>Nov</v>
      </c>
      <c r="D30" s="2" t="s">
        <v>9</v>
      </c>
      <c r="E30" s="6">
        <v>25.5</v>
      </c>
      <c r="F30" s="8">
        <v>630.37</v>
      </c>
      <c r="G30" s="4">
        <f t="shared" si="1"/>
        <v>16074.434999999999</v>
      </c>
      <c r="H30" s="2" t="s">
        <v>18</v>
      </c>
      <c r="I30" s="2" t="s">
        <v>22</v>
      </c>
      <c r="J30" s="2" t="s">
        <v>35</v>
      </c>
      <c r="K30" s="2" t="s">
        <v>20</v>
      </c>
    </row>
    <row r="31" spans="1:11" x14ac:dyDescent="0.3">
      <c r="A31" s="2">
        <v>10486</v>
      </c>
      <c r="B31" s="3">
        <v>44879</v>
      </c>
      <c r="C31" s="3" t="str">
        <f t="shared" si="0"/>
        <v>Nov</v>
      </c>
      <c r="D31" s="2" t="s">
        <v>25</v>
      </c>
      <c r="E31" s="6">
        <v>29.05</v>
      </c>
      <c r="F31" s="8">
        <v>201.01</v>
      </c>
      <c r="G31" s="4">
        <f t="shared" si="1"/>
        <v>5839.3405000000002</v>
      </c>
      <c r="H31" s="2" t="s">
        <v>18</v>
      </c>
      <c r="I31" s="2" t="s">
        <v>22</v>
      </c>
      <c r="J31" s="2" t="s">
        <v>35</v>
      </c>
      <c r="K31" s="2" t="s">
        <v>20</v>
      </c>
    </row>
    <row r="32" spans="1:11" x14ac:dyDescent="0.3">
      <c r="A32" s="2">
        <v>10487</v>
      </c>
      <c r="B32" s="3">
        <v>44879</v>
      </c>
      <c r="C32" s="3" t="str">
        <f t="shared" si="0"/>
        <v>Nov</v>
      </c>
      <c r="D32" s="2" t="s">
        <v>9</v>
      </c>
      <c r="E32" s="6">
        <v>3.49</v>
      </c>
      <c r="F32" s="8">
        <v>630.37</v>
      </c>
      <c r="G32" s="4">
        <f t="shared" si="1"/>
        <v>2199.9913000000001</v>
      </c>
      <c r="H32" s="2" t="s">
        <v>18</v>
      </c>
      <c r="I32" s="2" t="s">
        <v>22</v>
      </c>
      <c r="J32" s="2" t="s">
        <v>35</v>
      </c>
      <c r="K32" s="2" t="s">
        <v>20</v>
      </c>
    </row>
    <row r="33" spans="1:11" x14ac:dyDescent="0.3">
      <c r="A33" s="2">
        <v>10488</v>
      </c>
      <c r="B33" s="3">
        <v>44879</v>
      </c>
      <c r="C33" s="3" t="str">
        <f t="shared" si="0"/>
        <v>Nov</v>
      </c>
      <c r="D33" s="2" t="s">
        <v>14</v>
      </c>
      <c r="E33" s="6">
        <v>2.95</v>
      </c>
      <c r="F33" s="8">
        <v>677.97</v>
      </c>
      <c r="G33" s="4">
        <f t="shared" si="1"/>
        <v>2000.0115000000003</v>
      </c>
      <c r="H33" s="2" t="s">
        <v>18</v>
      </c>
      <c r="I33" s="2" t="s">
        <v>22</v>
      </c>
      <c r="J33" s="2" t="s">
        <v>35</v>
      </c>
      <c r="K33" s="2" t="s">
        <v>20</v>
      </c>
    </row>
    <row r="34" spans="1:11" x14ac:dyDescent="0.3">
      <c r="A34" s="2">
        <v>10489</v>
      </c>
      <c r="B34" s="3">
        <v>44879</v>
      </c>
      <c r="C34" s="3" t="str">
        <f t="shared" si="0"/>
        <v>Nov</v>
      </c>
      <c r="D34" s="2" t="s">
        <v>17</v>
      </c>
      <c r="E34" s="6">
        <v>4.99</v>
      </c>
      <c r="F34" s="8">
        <v>200.4</v>
      </c>
      <c r="G34" s="4">
        <f t="shared" si="1"/>
        <v>999.99600000000009</v>
      </c>
      <c r="H34" s="2" t="s">
        <v>18</v>
      </c>
      <c r="I34" s="2" t="s">
        <v>22</v>
      </c>
      <c r="J34" s="2" t="s">
        <v>31</v>
      </c>
      <c r="K34" s="2" t="s">
        <v>16</v>
      </c>
    </row>
    <row r="35" spans="1:11" x14ac:dyDescent="0.3">
      <c r="A35" s="2">
        <v>10490</v>
      </c>
      <c r="B35" s="3">
        <v>44880</v>
      </c>
      <c r="C35" s="3" t="str">
        <f t="shared" si="0"/>
        <v>Nov</v>
      </c>
      <c r="D35" s="2" t="s">
        <v>21</v>
      </c>
      <c r="E35" s="6">
        <v>12.99</v>
      </c>
      <c r="F35" s="8">
        <v>508.08</v>
      </c>
      <c r="G35" s="4">
        <f t="shared" si="1"/>
        <v>6599.9592000000002</v>
      </c>
      <c r="H35" s="2" t="s">
        <v>18</v>
      </c>
      <c r="I35" s="2" t="s">
        <v>22</v>
      </c>
      <c r="J35" s="2" t="s">
        <v>31</v>
      </c>
      <c r="K35" s="2" t="s">
        <v>16</v>
      </c>
    </row>
    <row r="36" spans="1:11" x14ac:dyDescent="0.3">
      <c r="A36" s="2">
        <v>10491</v>
      </c>
      <c r="B36" s="3">
        <v>44880</v>
      </c>
      <c r="C36" s="3" t="str">
        <f t="shared" si="0"/>
        <v>Nov</v>
      </c>
      <c r="D36" s="2" t="s">
        <v>25</v>
      </c>
      <c r="E36" s="6">
        <v>9.9499999999999993</v>
      </c>
      <c r="F36" s="8">
        <v>201.01</v>
      </c>
      <c r="G36" s="4">
        <f t="shared" si="1"/>
        <v>2000.0494999999999</v>
      </c>
      <c r="H36" s="2" t="s">
        <v>18</v>
      </c>
      <c r="I36" s="2" t="s">
        <v>22</v>
      </c>
      <c r="J36" s="2" t="s">
        <v>31</v>
      </c>
      <c r="K36" s="2" t="s">
        <v>16</v>
      </c>
    </row>
    <row r="37" spans="1:11" x14ac:dyDescent="0.3">
      <c r="A37" s="2">
        <v>10492</v>
      </c>
      <c r="B37" s="3">
        <v>44880</v>
      </c>
      <c r="C37" s="3" t="str">
        <f t="shared" si="0"/>
        <v>Nov</v>
      </c>
      <c r="D37" s="2" t="s">
        <v>9</v>
      </c>
      <c r="E37" s="6">
        <v>3.49</v>
      </c>
      <c r="F37" s="8">
        <v>573.07000000000005</v>
      </c>
      <c r="G37" s="4">
        <f t="shared" si="1"/>
        <v>2000.0143000000003</v>
      </c>
      <c r="H37" s="2" t="s">
        <v>18</v>
      </c>
      <c r="I37" s="2" t="s">
        <v>22</v>
      </c>
      <c r="J37" s="2" t="s">
        <v>31</v>
      </c>
      <c r="K37" s="2" t="s">
        <v>16</v>
      </c>
    </row>
    <row r="38" spans="1:11" x14ac:dyDescent="0.3">
      <c r="A38" s="2">
        <v>10493</v>
      </c>
      <c r="B38" s="3">
        <v>44880</v>
      </c>
      <c r="C38" s="3" t="str">
        <f t="shared" si="0"/>
        <v>Nov</v>
      </c>
      <c r="D38" s="2" t="s">
        <v>14</v>
      </c>
      <c r="E38" s="6">
        <v>2.95</v>
      </c>
      <c r="F38" s="8">
        <v>677.97</v>
      </c>
      <c r="G38" s="4">
        <f t="shared" si="1"/>
        <v>2000.0115000000003</v>
      </c>
      <c r="H38" s="2" t="s">
        <v>18</v>
      </c>
      <c r="I38" s="2" t="s">
        <v>22</v>
      </c>
      <c r="J38" s="2" t="s">
        <v>31</v>
      </c>
      <c r="K38" s="2" t="s">
        <v>16</v>
      </c>
    </row>
    <row r="39" spans="1:11" x14ac:dyDescent="0.3">
      <c r="A39" s="2">
        <v>10494</v>
      </c>
      <c r="B39" s="3">
        <v>44880</v>
      </c>
      <c r="C39" s="3" t="str">
        <f t="shared" si="0"/>
        <v>Nov</v>
      </c>
      <c r="D39" s="2" t="s">
        <v>17</v>
      </c>
      <c r="E39" s="6">
        <v>4.99</v>
      </c>
      <c r="F39" s="8">
        <v>200.4</v>
      </c>
      <c r="G39" s="4">
        <f t="shared" si="1"/>
        <v>999.99600000000009</v>
      </c>
      <c r="H39" s="2" t="s">
        <v>18</v>
      </c>
      <c r="I39" s="2" t="s">
        <v>22</v>
      </c>
      <c r="J39" s="2" t="s">
        <v>31</v>
      </c>
      <c r="K39" s="2" t="s">
        <v>16</v>
      </c>
    </row>
    <row r="40" spans="1:11" x14ac:dyDescent="0.3">
      <c r="A40" s="2">
        <v>10495</v>
      </c>
      <c r="B40" s="3">
        <v>44881</v>
      </c>
      <c r="C40" s="3" t="str">
        <f t="shared" si="0"/>
        <v>Nov</v>
      </c>
      <c r="D40" s="2" t="s">
        <v>21</v>
      </c>
      <c r="E40" s="6">
        <v>12.99</v>
      </c>
      <c r="F40" s="8">
        <v>508.08</v>
      </c>
      <c r="G40" s="4">
        <f t="shared" si="1"/>
        <v>6599.9592000000002</v>
      </c>
      <c r="H40" s="2" t="s">
        <v>18</v>
      </c>
      <c r="I40" s="2" t="s">
        <v>22</v>
      </c>
      <c r="J40" s="2" t="s">
        <v>31</v>
      </c>
      <c r="K40" s="2" t="s">
        <v>16</v>
      </c>
    </row>
    <row r="41" spans="1:11" x14ac:dyDescent="0.3">
      <c r="A41" s="2">
        <v>10496</v>
      </c>
      <c r="B41" s="3">
        <v>44881</v>
      </c>
      <c r="C41" s="3" t="str">
        <f t="shared" si="0"/>
        <v>Nov</v>
      </c>
      <c r="D41" s="2" t="s">
        <v>25</v>
      </c>
      <c r="E41" s="6">
        <v>9.9499999999999993</v>
      </c>
      <c r="F41" s="8">
        <v>201.01</v>
      </c>
      <c r="G41" s="4">
        <f t="shared" si="1"/>
        <v>2000.0494999999999</v>
      </c>
      <c r="H41" s="2" t="s">
        <v>18</v>
      </c>
      <c r="I41" s="2" t="s">
        <v>22</v>
      </c>
      <c r="J41" s="2" t="s">
        <v>31</v>
      </c>
      <c r="K41" s="2" t="s">
        <v>16</v>
      </c>
    </row>
    <row r="42" spans="1:11" x14ac:dyDescent="0.3">
      <c r="A42" s="2">
        <v>10497</v>
      </c>
      <c r="B42" s="3">
        <v>44881</v>
      </c>
      <c r="C42" s="3" t="str">
        <f t="shared" si="0"/>
        <v>Nov</v>
      </c>
      <c r="D42" s="2" t="s">
        <v>9</v>
      </c>
      <c r="E42" s="6">
        <v>3.49</v>
      </c>
      <c r="F42" s="8">
        <v>573.07000000000005</v>
      </c>
      <c r="G42" s="4">
        <f t="shared" si="1"/>
        <v>2000.0143000000003</v>
      </c>
      <c r="H42" s="2" t="s">
        <v>18</v>
      </c>
      <c r="I42" s="2" t="s">
        <v>22</v>
      </c>
      <c r="J42" s="2" t="s">
        <v>31</v>
      </c>
      <c r="K42" s="2" t="s">
        <v>16</v>
      </c>
    </row>
    <row r="43" spans="1:11" x14ac:dyDescent="0.3">
      <c r="A43" s="2">
        <v>10498</v>
      </c>
      <c r="B43" s="3">
        <v>44881</v>
      </c>
      <c r="C43" s="3" t="str">
        <f t="shared" si="0"/>
        <v>Nov</v>
      </c>
      <c r="D43" s="2" t="s">
        <v>14</v>
      </c>
      <c r="E43" s="6">
        <v>2.95</v>
      </c>
      <c r="F43" s="8">
        <v>677.97</v>
      </c>
      <c r="G43" s="4">
        <f t="shared" si="1"/>
        <v>2000.0115000000003</v>
      </c>
      <c r="H43" s="2" t="s">
        <v>36</v>
      </c>
      <c r="I43" s="2" t="s">
        <v>22</v>
      </c>
      <c r="J43" s="2" t="s">
        <v>31</v>
      </c>
      <c r="K43" s="2" t="s">
        <v>16</v>
      </c>
    </row>
    <row r="44" spans="1:11" x14ac:dyDescent="0.3">
      <c r="A44" s="2">
        <v>10499</v>
      </c>
      <c r="B44" s="3">
        <v>44881</v>
      </c>
      <c r="C44" s="3" t="str">
        <f t="shared" si="0"/>
        <v>Nov</v>
      </c>
      <c r="D44" s="2" t="s">
        <v>17</v>
      </c>
      <c r="E44" s="6">
        <v>4.99</v>
      </c>
      <c r="F44" s="8">
        <v>200.4</v>
      </c>
      <c r="G44" s="4">
        <f t="shared" si="1"/>
        <v>999.99600000000009</v>
      </c>
      <c r="H44" s="2" t="s">
        <v>36</v>
      </c>
      <c r="I44" s="2" t="s">
        <v>22</v>
      </c>
      <c r="J44" s="2" t="s">
        <v>31</v>
      </c>
      <c r="K44" s="2" t="s">
        <v>16</v>
      </c>
    </row>
    <row r="45" spans="1:11" x14ac:dyDescent="0.3">
      <c r="A45" s="2">
        <v>10500</v>
      </c>
      <c r="B45" s="3">
        <v>44882</v>
      </c>
      <c r="C45" s="3" t="str">
        <f t="shared" si="0"/>
        <v>Nov</v>
      </c>
      <c r="D45" s="2" t="s">
        <v>21</v>
      </c>
      <c r="E45" s="6">
        <v>12.99</v>
      </c>
      <c r="F45" s="8">
        <v>523.48</v>
      </c>
      <c r="G45" s="4">
        <f t="shared" si="1"/>
        <v>6800.0052000000005</v>
      </c>
      <c r="H45" s="2" t="s">
        <v>36</v>
      </c>
      <c r="I45" s="2" t="s">
        <v>22</v>
      </c>
      <c r="J45" s="2" t="s">
        <v>31</v>
      </c>
      <c r="K45" s="2" t="s">
        <v>16</v>
      </c>
    </row>
    <row r="46" spans="1:11" x14ac:dyDescent="0.3">
      <c r="A46" s="2">
        <v>10501</v>
      </c>
      <c r="B46" s="3">
        <v>44882</v>
      </c>
      <c r="C46" s="3" t="str">
        <f t="shared" si="0"/>
        <v>Nov</v>
      </c>
      <c r="D46" s="2" t="s">
        <v>25</v>
      </c>
      <c r="E46" s="6">
        <v>9.9499999999999993</v>
      </c>
      <c r="F46" s="8">
        <v>201.01</v>
      </c>
      <c r="G46" s="4">
        <f t="shared" si="1"/>
        <v>2000.0494999999999</v>
      </c>
      <c r="H46" s="2" t="s">
        <v>36</v>
      </c>
      <c r="I46" s="2" t="s">
        <v>22</v>
      </c>
      <c r="J46" s="2" t="s">
        <v>31</v>
      </c>
      <c r="K46" s="2" t="s">
        <v>16</v>
      </c>
    </row>
    <row r="47" spans="1:11" x14ac:dyDescent="0.3">
      <c r="A47" s="2">
        <v>10502</v>
      </c>
      <c r="B47" s="3">
        <v>44882</v>
      </c>
      <c r="C47" s="3" t="str">
        <f t="shared" si="0"/>
        <v>Nov</v>
      </c>
      <c r="D47" s="2" t="s">
        <v>9</v>
      </c>
      <c r="E47" s="6">
        <v>3.49</v>
      </c>
      <c r="F47" s="8">
        <v>630.37</v>
      </c>
      <c r="G47" s="4">
        <f t="shared" si="1"/>
        <v>2199.9913000000001</v>
      </c>
      <c r="H47" s="2" t="s">
        <v>36</v>
      </c>
      <c r="I47" s="2" t="s">
        <v>22</v>
      </c>
      <c r="J47" s="2" t="s">
        <v>31</v>
      </c>
      <c r="K47" s="2" t="s">
        <v>16</v>
      </c>
    </row>
    <row r="48" spans="1:11" x14ac:dyDescent="0.3">
      <c r="A48" s="2">
        <v>10503</v>
      </c>
      <c r="B48" s="3">
        <v>44882</v>
      </c>
      <c r="C48" s="3" t="str">
        <f t="shared" si="0"/>
        <v>Nov</v>
      </c>
      <c r="D48" s="2" t="s">
        <v>14</v>
      </c>
      <c r="E48" s="6">
        <v>2.95</v>
      </c>
      <c r="F48" s="8">
        <v>677.97</v>
      </c>
      <c r="G48" s="4">
        <f t="shared" si="1"/>
        <v>2000.0115000000003</v>
      </c>
      <c r="H48" s="2" t="s">
        <v>36</v>
      </c>
      <c r="I48" s="2" t="s">
        <v>22</v>
      </c>
      <c r="J48" s="2" t="s">
        <v>31</v>
      </c>
      <c r="K48" s="2" t="s">
        <v>16</v>
      </c>
    </row>
    <row r="49" spans="1:11" x14ac:dyDescent="0.3">
      <c r="A49" s="2">
        <v>10504</v>
      </c>
      <c r="B49" s="3">
        <v>44882</v>
      </c>
      <c r="C49" s="3" t="str">
        <f t="shared" si="0"/>
        <v>Nov</v>
      </c>
      <c r="D49" s="2" t="s">
        <v>17</v>
      </c>
      <c r="E49" s="6">
        <v>4.99</v>
      </c>
      <c r="F49" s="8">
        <v>200.4</v>
      </c>
      <c r="G49" s="4">
        <f t="shared" si="1"/>
        <v>999.99600000000009</v>
      </c>
      <c r="H49" s="2" t="s">
        <v>36</v>
      </c>
      <c r="I49" s="2" t="s">
        <v>22</v>
      </c>
      <c r="J49" s="2" t="s">
        <v>31</v>
      </c>
      <c r="K49" s="2" t="s">
        <v>16</v>
      </c>
    </row>
    <row r="50" spans="1:11" x14ac:dyDescent="0.3">
      <c r="A50" s="2">
        <v>10505</v>
      </c>
      <c r="B50" s="3">
        <v>44883</v>
      </c>
      <c r="C50" s="3" t="str">
        <f t="shared" si="0"/>
        <v>Nov</v>
      </c>
      <c r="D50" s="2" t="s">
        <v>21</v>
      </c>
      <c r="E50" s="6">
        <v>12.99</v>
      </c>
      <c r="F50" s="8">
        <v>538.88</v>
      </c>
      <c r="G50" s="4">
        <f t="shared" si="1"/>
        <v>7000.0511999999999</v>
      </c>
      <c r="H50" s="2" t="s">
        <v>36</v>
      </c>
      <c r="I50" s="2" t="s">
        <v>22</v>
      </c>
      <c r="J50" s="2" t="s">
        <v>31</v>
      </c>
      <c r="K50" s="2" t="s">
        <v>16</v>
      </c>
    </row>
    <row r="51" spans="1:11" x14ac:dyDescent="0.3">
      <c r="A51" s="2">
        <v>10506</v>
      </c>
      <c r="B51" s="3">
        <v>44883</v>
      </c>
      <c r="C51" s="3" t="str">
        <f t="shared" si="0"/>
        <v>Nov</v>
      </c>
      <c r="D51" s="2" t="s">
        <v>25</v>
      </c>
      <c r="E51" s="6">
        <v>9.9499999999999993</v>
      </c>
      <c r="F51" s="8">
        <v>201.01</v>
      </c>
      <c r="G51" s="4">
        <f t="shared" si="1"/>
        <v>2000.0494999999999</v>
      </c>
      <c r="H51" s="2" t="s">
        <v>36</v>
      </c>
      <c r="I51" s="2" t="s">
        <v>22</v>
      </c>
      <c r="J51" s="2" t="s">
        <v>31</v>
      </c>
      <c r="K51" s="2" t="s">
        <v>16</v>
      </c>
    </row>
    <row r="52" spans="1:11" x14ac:dyDescent="0.3">
      <c r="A52" s="2">
        <v>10507</v>
      </c>
      <c r="B52" s="3">
        <v>44883</v>
      </c>
      <c r="C52" s="3" t="str">
        <f t="shared" si="0"/>
        <v>Nov</v>
      </c>
      <c r="D52" s="2" t="s">
        <v>9</v>
      </c>
      <c r="E52" s="6">
        <v>3.49</v>
      </c>
      <c r="F52" s="8">
        <v>687.68</v>
      </c>
      <c r="G52" s="4">
        <f t="shared" si="1"/>
        <v>2400.0032000000001</v>
      </c>
      <c r="H52" s="2" t="s">
        <v>36</v>
      </c>
      <c r="I52" s="2" t="s">
        <v>22</v>
      </c>
      <c r="J52" s="2" t="s">
        <v>31</v>
      </c>
      <c r="K52" s="2" t="s">
        <v>16</v>
      </c>
    </row>
    <row r="53" spans="1:11" x14ac:dyDescent="0.3">
      <c r="A53" s="2">
        <v>10508</v>
      </c>
      <c r="B53" s="3">
        <v>44883</v>
      </c>
      <c r="C53" s="3" t="str">
        <f t="shared" si="0"/>
        <v>Nov</v>
      </c>
      <c r="D53" s="2" t="s">
        <v>14</v>
      </c>
      <c r="E53" s="6">
        <v>2.95</v>
      </c>
      <c r="F53" s="8">
        <v>677.97</v>
      </c>
      <c r="G53" s="4">
        <f t="shared" si="1"/>
        <v>2000.0115000000003</v>
      </c>
      <c r="H53" s="2" t="s">
        <v>36</v>
      </c>
      <c r="I53" s="2" t="s">
        <v>22</v>
      </c>
      <c r="J53" s="2" t="s">
        <v>31</v>
      </c>
      <c r="K53" s="2" t="s">
        <v>16</v>
      </c>
    </row>
    <row r="54" spans="1:11" x14ac:dyDescent="0.3">
      <c r="A54" s="2">
        <v>10509</v>
      </c>
      <c r="B54" s="3">
        <v>44883</v>
      </c>
      <c r="C54" s="3" t="str">
        <f t="shared" si="0"/>
        <v>Nov</v>
      </c>
      <c r="D54" s="2" t="s">
        <v>17</v>
      </c>
      <c r="E54" s="6">
        <v>4.99</v>
      </c>
      <c r="F54" s="8">
        <v>200.4</v>
      </c>
      <c r="G54" s="4">
        <f t="shared" si="1"/>
        <v>999.99600000000009</v>
      </c>
      <c r="H54" s="2" t="s">
        <v>36</v>
      </c>
      <c r="I54" s="2" t="s">
        <v>22</v>
      </c>
      <c r="J54" s="2" t="s">
        <v>31</v>
      </c>
      <c r="K54" s="2" t="s">
        <v>16</v>
      </c>
    </row>
    <row r="55" spans="1:11" x14ac:dyDescent="0.3">
      <c r="A55" s="2">
        <v>10510</v>
      </c>
      <c r="B55" s="3">
        <v>44884</v>
      </c>
      <c r="C55" s="3" t="str">
        <f t="shared" si="0"/>
        <v>Nov</v>
      </c>
      <c r="D55" s="2" t="s">
        <v>21</v>
      </c>
      <c r="E55" s="6">
        <v>12.99</v>
      </c>
      <c r="F55" s="8">
        <v>508.08</v>
      </c>
      <c r="G55" s="4">
        <f t="shared" si="1"/>
        <v>6599.9592000000002</v>
      </c>
      <c r="H55" s="2" t="s">
        <v>36</v>
      </c>
      <c r="I55" s="2" t="s">
        <v>22</v>
      </c>
      <c r="J55" s="2" t="s">
        <v>31</v>
      </c>
      <c r="K55" s="2" t="s">
        <v>16</v>
      </c>
    </row>
    <row r="56" spans="1:11" x14ac:dyDescent="0.3">
      <c r="A56" s="2">
        <v>10511</v>
      </c>
      <c r="B56" s="3">
        <v>44884</v>
      </c>
      <c r="C56" s="3" t="str">
        <f t="shared" si="0"/>
        <v>Nov</v>
      </c>
      <c r="D56" s="2" t="s">
        <v>25</v>
      </c>
      <c r="E56" s="6">
        <v>9.9499999999999993</v>
      </c>
      <c r="F56" s="8">
        <v>201.01</v>
      </c>
      <c r="G56" s="4">
        <f t="shared" si="1"/>
        <v>2000.0494999999999</v>
      </c>
      <c r="H56" s="2" t="s">
        <v>36</v>
      </c>
      <c r="I56" s="2" t="s">
        <v>22</v>
      </c>
      <c r="J56" s="2" t="s">
        <v>35</v>
      </c>
      <c r="K56" s="2" t="s">
        <v>20</v>
      </c>
    </row>
    <row r="57" spans="1:11" x14ac:dyDescent="0.3">
      <c r="A57" s="2">
        <v>10512</v>
      </c>
      <c r="B57" s="3">
        <v>44884</v>
      </c>
      <c r="C57" s="3" t="str">
        <f t="shared" si="0"/>
        <v>Nov</v>
      </c>
      <c r="D57" s="2" t="s">
        <v>9</v>
      </c>
      <c r="E57" s="6">
        <v>3.49</v>
      </c>
      <c r="F57" s="8">
        <v>687.68</v>
      </c>
      <c r="G57" s="4">
        <f t="shared" si="1"/>
        <v>2400.0032000000001</v>
      </c>
      <c r="H57" s="2" t="s">
        <v>36</v>
      </c>
      <c r="I57" s="2" t="s">
        <v>22</v>
      </c>
      <c r="J57" s="2" t="s">
        <v>35</v>
      </c>
      <c r="K57" s="2" t="s">
        <v>20</v>
      </c>
    </row>
    <row r="58" spans="1:11" x14ac:dyDescent="0.3">
      <c r="A58" s="2">
        <v>10513</v>
      </c>
      <c r="B58" s="3">
        <v>44884</v>
      </c>
      <c r="C58" s="3" t="str">
        <f t="shared" si="0"/>
        <v>Nov</v>
      </c>
      <c r="D58" s="2" t="s">
        <v>14</v>
      </c>
      <c r="E58" s="6">
        <v>2.95</v>
      </c>
      <c r="F58" s="8">
        <v>677.97</v>
      </c>
      <c r="G58" s="4">
        <f t="shared" si="1"/>
        <v>2000.0115000000003</v>
      </c>
      <c r="H58" s="2" t="s">
        <v>36</v>
      </c>
      <c r="I58" s="2" t="s">
        <v>37</v>
      </c>
      <c r="J58" s="2" t="s">
        <v>35</v>
      </c>
      <c r="K58" s="2" t="s">
        <v>20</v>
      </c>
    </row>
    <row r="59" spans="1:11" x14ac:dyDescent="0.3">
      <c r="A59" s="2">
        <v>10514</v>
      </c>
      <c r="B59" s="3">
        <v>44884</v>
      </c>
      <c r="C59" s="3" t="str">
        <f t="shared" si="0"/>
        <v>Nov</v>
      </c>
      <c r="D59" s="2" t="s">
        <v>17</v>
      </c>
      <c r="E59" s="6">
        <v>4.99</v>
      </c>
      <c r="F59" s="8">
        <v>200.4</v>
      </c>
      <c r="G59" s="4">
        <f t="shared" si="1"/>
        <v>999.99600000000009</v>
      </c>
      <c r="H59" s="2" t="s">
        <v>36</v>
      </c>
      <c r="I59" s="2" t="s">
        <v>37</v>
      </c>
      <c r="J59" s="2" t="s">
        <v>35</v>
      </c>
      <c r="K59" s="2" t="s">
        <v>20</v>
      </c>
    </row>
    <row r="60" spans="1:11" x14ac:dyDescent="0.3">
      <c r="A60" s="2">
        <v>10515</v>
      </c>
      <c r="B60" s="3">
        <v>44885</v>
      </c>
      <c r="C60" s="3" t="str">
        <f t="shared" si="0"/>
        <v>Nov</v>
      </c>
      <c r="D60" s="2" t="s">
        <v>21</v>
      </c>
      <c r="E60" s="6">
        <v>12.99</v>
      </c>
      <c r="F60" s="8">
        <v>477.29</v>
      </c>
      <c r="G60" s="4">
        <f t="shared" si="1"/>
        <v>6199.9971000000005</v>
      </c>
      <c r="H60" s="2" t="s">
        <v>36</v>
      </c>
      <c r="I60" s="2" t="s">
        <v>37</v>
      </c>
      <c r="J60" s="2" t="s">
        <v>35</v>
      </c>
      <c r="K60" s="2" t="s">
        <v>20</v>
      </c>
    </row>
    <row r="61" spans="1:11" x14ac:dyDescent="0.3">
      <c r="A61" s="2">
        <v>10516</v>
      </c>
      <c r="B61" s="3">
        <v>44885</v>
      </c>
      <c r="C61" s="3" t="str">
        <f t="shared" si="0"/>
        <v>Nov</v>
      </c>
      <c r="D61" s="2" t="s">
        <v>25</v>
      </c>
      <c r="E61" s="6">
        <v>9.9499999999999993</v>
      </c>
      <c r="F61" s="8">
        <v>201.01</v>
      </c>
      <c r="G61" s="4">
        <f t="shared" si="1"/>
        <v>2000.0494999999999</v>
      </c>
      <c r="H61" s="2" t="s">
        <v>36</v>
      </c>
      <c r="I61" s="2" t="s">
        <v>37</v>
      </c>
      <c r="J61" s="2" t="s">
        <v>35</v>
      </c>
      <c r="K61" s="2" t="s">
        <v>20</v>
      </c>
    </row>
    <row r="62" spans="1:11" x14ac:dyDescent="0.3">
      <c r="A62" s="2">
        <v>10483</v>
      </c>
      <c r="B62" s="3">
        <v>44878</v>
      </c>
      <c r="C62" s="3" t="str">
        <f t="shared" si="0"/>
        <v>Nov</v>
      </c>
      <c r="D62" s="2" t="s">
        <v>14</v>
      </c>
      <c r="E62" s="6">
        <v>2.95</v>
      </c>
      <c r="F62" s="8">
        <v>677.97</v>
      </c>
      <c r="G62" s="4">
        <f t="shared" si="1"/>
        <v>2000.0115000000003</v>
      </c>
      <c r="H62" s="2" t="s">
        <v>18</v>
      </c>
      <c r="I62" s="2" t="s">
        <v>22</v>
      </c>
      <c r="J62" s="2" t="s">
        <v>35</v>
      </c>
      <c r="K62" s="2" t="s">
        <v>20</v>
      </c>
    </row>
    <row r="63" spans="1:11" x14ac:dyDescent="0.3">
      <c r="A63" s="2">
        <v>10484</v>
      </c>
      <c r="B63" s="3">
        <v>44878</v>
      </c>
      <c r="C63" s="3" t="str">
        <f t="shared" si="0"/>
        <v>Nov</v>
      </c>
      <c r="D63" s="2" t="s">
        <v>17</v>
      </c>
      <c r="E63" s="6">
        <v>4.99</v>
      </c>
      <c r="F63" s="8">
        <v>200.4</v>
      </c>
      <c r="G63" s="4">
        <f t="shared" si="1"/>
        <v>999.99600000000009</v>
      </c>
      <c r="H63" s="2" t="s">
        <v>18</v>
      </c>
      <c r="I63" s="2" t="s">
        <v>22</v>
      </c>
      <c r="J63" s="2" t="s">
        <v>35</v>
      </c>
      <c r="K63" s="2" t="s">
        <v>20</v>
      </c>
    </row>
    <row r="64" spans="1:11" x14ac:dyDescent="0.3">
      <c r="A64" s="2">
        <v>10485</v>
      </c>
      <c r="B64" s="3">
        <v>44879</v>
      </c>
      <c r="C64" s="3" t="str">
        <f t="shared" si="0"/>
        <v>Nov</v>
      </c>
      <c r="D64" s="2" t="s">
        <v>21</v>
      </c>
      <c r="E64" s="6">
        <v>12.99</v>
      </c>
      <c r="F64" s="8">
        <v>523.48</v>
      </c>
      <c r="G64" s="4">
        <f t="shared" si="1"/>
        <v>6800.0052000000005</v>
      </c>
      <c r="H64" s="2" t="s">
        <v>18</v>
      </c>
      <c r="I64" s="2" t="s">
        <v>22</v>
      </c>
      <c r="J64" s="2" t="s">
        <v>35</v>
      </c>
      <c r="K64" s="2" t="s">
        <v>20</v>
      </c>
    </row>
    <row r="65" spans="1:11" x14ac:dyDescent="0.3">
      <c r="A65" s="2">
        <v>10520</v>
      </c>
      <c r="B65" s="3">
        <v>44886</v>
      </c>
      <c r="C65" s="3" t="str">
        <f t="shared" si="0"/>
        <v>Nov</v>
      </c>
      <c r="D65" s="2" t="s">
        <v>21</v>
      </c>
      <c r="E65" s="6">
        <v>12.99</v>
      </c>
      <c r="F65" s="8">
        <v>492.69</v>
      </c>
      <c r="G65" s="4">
        <f t="shared" si="1"/>
        <v>6400.0430999999999</v>
      </c>
      <c r="H65" s="2" t="s">
        <v>36</v>
      </c>
      <c r="I65" s="2" t="s">
        <v>37</v>
      </c>
      <c r="J65" s="2" t="s">
        <v>28</v>
      </c>
      <c r="K65" s="2" t="s">
        <v>27</v>
      </c>
    </row>
    <row r="66" spans="1:11" x14ac:dyDescent="0.3">
      <c r="A66" s="2">
        <v>10521</v>
      </c>
      <c r="B66" s="3">
        <v>44886</v>
      </c>
      <c r="C66" s="3" t="str">
        <f t="shared" si="0"/>
        <v>Nov</v>
      </c>
      <c r="D66" s="2" t="s">
        <v>25</v>
      </c>
      <c r="E66" s="6">
        <v>9.9499999999999993</v>
      </c>
      <c r="F66" s="8">
        <v>201.01</v>
      </c>
      <c r="G66" s="4">
        <f t="shared" si="1"/>
        <v>2000.0494999999999</v>
      </c>
      <c r="H66" s="2" t="s">
        <v>36</v>
      </c>
      <c r="I66" s="2" t="s">
        <v>37</v>
      </c>
      <c r="J66" s="2" t="s">
        <v>28</v>
      </c>
      <c r="K66" s="2" t="s">
        <v>27</v>
      </c>
    </row>
    <row r="67" spans="1:11" x14ac:dyDescent="0.3">
      <c r="A67" s="2">
        <v>10522</v>
      </c>
      <c r="B67" s="3">
        <v>44886</v>
      </c>
      <c r="C67" s="3" t="str">
        <f t="shared" ref="C67:C130" si="2">TEXT(B67,"mmm")</f>
        <v>Nov</v>
      </c>
      <c r="D67" s="2" t="s">
        <v>9</v>
      </c>
      <c r="E67" s="6">
        <v>3.49</v>
      </c>
      <c r="F67" s="8">
        <v>687.68</v>
      </c>
      <c r="G67" s="4">
        <f t="shared" ref="G67:G130" si="3">E67*F67</f>
        <v>2400.0032000000001</v>
      </c>
      <c r="H67" s="2" t="s">
        <v>36</v>
      </c>
      <c r="I67" s="2" t="s">
        <v>37</v>
      </c>
      <c r="J67" s="2" t="s">
        <v>28</v>
      </c>
      <c r="K67" s="2" t="s">
        <v>27</v>
      </c>
    </row>
    <row r="68" spans="1:11" x14ac:dyDescent="0.3">
      <c r="A68" s="2">
        <v>10523</v>
      </c>
      <c r="B68" s="3">
        <v>44886</v>
      </c>
      <c r="C68" s="3" t="str">
        <f t="shared" si="2"/>
        <v>Nov</v>
      </c>
      <c r="D68" s="2" t="s">
        <v>14</v>
      </c>
      <c r="E68" s="6">
        <v>2.95</v>
      </c>
      <c r="F68" s="8">
        <v>745.76</v>
      </c>
      <c r="G68" s="4">
        <f t="shared" si="3"/>
        <v>2199.9920000000002</v>
      </c>
      <c r="H68" s="2" t="s">
        <v>36</v>
      </c>
      <c r="I68" s="2" t="s">
        <v>37</v>
      </c>
      <c r="J68" s="2" t="s">
        <v>28</v>
      </c>
      <c r="K68" s="2" t="s">
        <v>27</v>
      </c>
    </row>
    <row r="69" spans="1:11" x14ac:dyDescent="0.3">
      <c r="A69" s="2">
        <v>10524</v>
      </c>
      <c r="B69" s="3">
        <v>44886</v>
      </c>
      <c r="C69" s="3" t="str">
        <f t="shared" si="2"/>
        <v>Nov</v>
      </c>
      <c r="D69" s="2" t="s">
        <v>17</v>
      </c>
      <c r="E69" s="6">
        <v>4.99</v>
      </c>
      <c r="F69" s="8">
        <v>200.4</v>
      </c>
      <c r="G69" s="4">
        <f t="shared" si="3"/>
        <v>999.99600000000009</v>
      </c>
      <c r="H69" s="2" t="s">
        <v>36</v>
      </c>
      <c r="I69" s="2" t="s">
        <v>37</v>
      </c>
      <c r="J69" s="2" t="s">
        <v>28</v>
      </c>
      <c r="K69" s="2" t="s">
        <v>27</v>
      </c>
    </row>
    <row r="70" spans="1:11" x14ac:dyDescent="0.3">
      <c r="A70" s="2">
        <v>10525</v>
      </c>
      <c r="B70" s="3">
        <v>44887</v>
      </c>
      <c r="C70" s="3" t="str">
        <f t="shared" si="2"/>
        <v>Nov</v>
      </c>
      <c r="D70" s="2" t="s">
        <v>21</v>
      </c>
      <c r="E70" s="6">
        <v>12.99</v>
      </c>
      <c r="F70" s="8">
        <v>461.89</v>
      </c>
      <c r="G70" s="4">
        <f t="shared" si="3"/>
        <v>5999.9511000000002</v>
      </c>
      <c r="H70" s="2" t="s">
        <v>36</v>
      </c>
      <c r="I70" s="2" t="s">
        <v>37</v>
      </c>
      <c r="J70" s="2" t="s">
        <v>28</v>
      </c>
      <c r="K70" s="2" t="s">
        <v>27</v>
      </c>
    </row>
    <row r="71" spans="1:11" x14ac:dyDescent="0.3">
      <c r="A71" s="2">
        <v>10526</v>
      </c>
      <c r="B71" s="3">
        <v>44887</v>
      </c>
      <c r="C71" s="3" t="str">
        <f t="shared" si="2"/>
        <v>Nov</v>
      </c>
      <c r="D71" s="2" t="s">
        <v>25</v>
      </c>
      <c r="E71" s="6">
        <v>9.9499999999999993</v>
      </c>
      <c r="F71" s="8">
        <v>201.01</v>
      </c>
      <c r="G71" s="4">
        <f t="shared" si="3"/>
        <v>2000.0494999999999</v>
      </c>
      <c r="H71" s="2" t="s">
        <v>36</v>
      </c>
      <c r="I71" s="2" t="s">
        <v>37</v>
      </c>
      <c r="J71" s="2" t="s">
        <v>28</v>
      </c>
      <c r="K71" s="2" t="s">
        <v>27</v>
      </c>
    </row>
    <row r="72" spans="1:11" x14ac:dyDescent="0.3">
      <c r="A72" s="2">
        <v>10527</v>
      </c>
      <c r="B72" s="3">
        <v>44887</v>
      </c>
      <c r="C72" s="3" t="str">
        <f t="shared" si="2"/>
        <v>Nov</v>
      </c>
      <c r="D72" s="2" t="s">
        <v>9</v>
      </c>
      <c r="E72" s="6">
        <v>3.49</v>
      </c>
      <c r="F72" s="8">
        <v>687.68</v>
      </c>
      <c r="G72" s="4">
        <f t="shared" si="3"/>
        <v>2400.0032000000001</v>
      </c>
      <c r="H72" s="2" t="s">
        <v>36</v>
      </c>
      <c r="I72" s="2" t="s">
        <v>37</v>
      </c>
      <c r="J72" s="2" t="s">
        <v>28</v>
      </c>
      <c r="K72" s="2" t="s">
        <v>27</v>
      </c>
    </row>
    <row r="73" spans="1:11" x14ac:dyDescent="0.3">
      <c r="A73" s="2">
        <v>10528</v>
      </c>
      <c r="B73" s="3">
        <v>44887</v>
      </c>
      <c r="C73" s="3" t="str">
        <f t="shared" si="2"/>
        <v>Nov</v>
      </c>
      <c r="D73" s="2" t="s">
        <v>14</v>
      </c>
      <c r="E73" s="6">
        <v>2.95</v>
      </c>
      <c r="F73" s="8">
        <v>745.76</v>
      </c>
      <c r="G73" s="4">
        <f t="shared" si="3"/>
        <v>2199.9920000000002</v>
      </c>
      <c r="H73" s="2" t="s">
        <v>36</v>
      </c>
      <c r="I73" s="2" t="s">
        <v>37</v>
      </c>
      <c r="J73" s="2" t="s">
        <v>28</v>
      </c>
      <c r="K73" s="2" t="s">
        <v>27</v>
      </c>
    </row>
    <row r="74" spans="1:11" x14ac:dyDescent="0.3">
      <c r="A74" s="2">
        <v>10529</v>
      </c>
      <c r="B74" s="3">
        <v>44887</v>
      </c>
      <c r="C74" s="3" t="str">
        <f t="shared" si="2"/>
        <v>Nov</v>
      </c>
      <c r="D74" s="2" t="s">
        <v>17</v>
      </c>
      <c r="E74" s="6">
        <v>4.99</v>
      </c>
      <c r="F74" s="8">
        <v>200.4</v>
      </c>
      <c r="G74" s="4">
        <f t="shared" si="3"/>
        <v>999.99600000000009</v>
      </c>
      <c r="H74" s="2" t="s">
        <v>36</v>
      </c>
      <c r="I74" s="2" t="s">
        <v>37</v>
      </c>
      <c r="J74" s="2" t="s">
        <v>28</v>
      </c>
      <c r="K74" s="2" t="s">
        <v>27</v>
      </c>
    </row>
    <row r="75" spans="1:11" x14ac:dyDescent="0.3">
      <c r="A75" s="2">
        <v>10530</v>
      </c>
      <c r="B75" s="3">
        <v>44888</v>
      </c>
      <c r="C75" s="3" t="str">
        <f t="shared" si="2"/>
        <v>Nov</v>
      </c>
      <c r="D75" s="2" t="s">
        <v>21</v>
      </c>
      <c r="E75" s="6">
        <v>12.99</v>
      </c>
      <c r="F75" s="8">
        <v>477.29</v>
      </c>
      <c r="G75" s="4">
        <f t="shared" si="3"/>
        <v>6199.9971000000005</v>
      </c>
      <c r="H75" s="2" t="s">
        <v>36</v>
      </c>
      <c r="I75" s="2" t="s">
        <v>37</v>
      </c>
      <c r="J75" s="2" t="s">
        <v>28</v>
      </c>
      <c r="K75" s="2" t="s">
        <v>27</v>
      </c>
    </row>
    <row r="76" spans="1:11" x14ac:dyDescent="0.3">
      <c r="A76" s="2">
        <v>10531</v>
      </c>
      <c r="B76" s="3">
        <v>44888</v>
      </c>
      <c r="C76" s="3" t="str">
        <f t="shared" si="2"/>
        <v>Nov</v>
      </c>
      <c r="D76" s="2" t="s">
        <v>25</v>
      </c>
      <c r="E76" s="6">
        <v>9.9499999999999993</v>
      </c>
      <c r="F76" s="8">
        <v>201.01</v>
      </c>
      <c r="G76" s="4">
        <f t="shared" si="3"/>
        <v>2000.0494999999999</v>
      </c>
      <c r="H76" s="2" t="s">
        <v>36</v>
      </c>
      <c r="I76" s="2" t="s">
        <v>37</v>
      </c>
      <c r="J76" s="2" t="s">
        <v>28</v>
      </c>
      <c r="K76" s="2" t="s">
        <v>27</v>
      </c>
    </row>
    <row r="77" spans="1:11" x14ac:dyDescent="0.3">
      <c r="A77" s="2">
        <v>10532</v>
      </c>
      <c r="B77" s="3">
        <v>44888</v>
      </c>
      <c r="C77" s="3" t="str">
        <f t="shared" si="2"/>
        <v>Nov</v>
      </c>
      <c r="D77" s="2" t="s">
        <v>9</v>
      </c>
      <c r="E77" s="6">
        <v>3.49</v>
      </c>
      <c r="F77" s="8">
        <v>687.68</v>
      </c>
      <c r="G77" s="4">
        <f t="shared" si="3"/>
        <v>2400.0032000000001</v>
      </c>
      <c r="H77" s="2" t="s">
        <v>36</v>
      </c>
      <c r="I77" s="2" t="s">
        <v>37</v>
      </c>
      <c r="J77" s="2" t="s">
        <v>35</v>
      </c>
      <c r="K77" s="2" t="s">
        <v>20</v>
      </c>
    </row>
    <row r="78" spans="1:11" x14ac:dyDescent="0.3">
      <c r="A78" s="2">
        <v>10533</v>
      </c>
      <c r="B78" s="3">
        <v>44888</v>
      </c>
      <c r="C78" s="3" t="str">
        <f t="shared" si="2"/>
        <v>Nov</v>
      </c>
      <c r="D78" s="2" t="s">
        <v>14</v>
      </c>
      <c r="E78" s="6">
        <v>2.95</v>
      </c>
      <c r="F78" s="8">
        <v>745.76</v>
      </c>
      <c r="G78" s="4">
        <f t="shared" si="3"/>
        <v>2199.9920000000002</v>
      </c>
      <c r="H78" s="2" t="s">
        <v>36</v>
      </c>
      <c r="I78" s="2" t="s">
        <v>37</v>
      </c>
      <c r="J78" s="2" t="s">
        <v>35</v>
      </c>
      <c r="K78" s="2" t="s">
        <v>20</v>
      </c>
    </row>
    <row r="79" spans="1:11" x14ac:dyDescent="0.3">
      <c r="A79" s="2">
        <v>10534</v>
      </c>
      <c r="B79" s="3">
        <v>44888</v>
      </c>
      <c r="C79" s="3" t="str">
        <f t="shared" si="2"/>
        <v>Nov</v>
      </c>
      <c r="D79" s="2" t="s">
        <v>17</v>
      </c>
      <c r="E79" s="6">
        <v>4.99</v>
      </c>
      <c r="F79" s="8">
        <v>200.4</v>
      </c>
      <c r="G79" s="4">
        <f t="shared" si="3"/>
        <v>999.99600000000009</v>
      </c>
      <c r="H79" s="2" t="s">
        <v>36</v>
      </c>
      <c r="I79" s="2" t="s">
        <v>37</v>
      </c>
      <c r="J79" s="2" t="s">
        <v>31</v>
      </c>
      <c r="K79" s="2" t="s">
        <v>16</v>
      </c>
    </row>
    <row r="80" spans="1:11" x14ac:dyDescent="0.3">
      <c r="A80" s="2">
        <v>10535</v>
      </c>
      <c r="B80" s="3">
        <v>44889</v>
      </c>
      <c r="C80" s="3" t="str">
        <f t="shared" si="2"/>
        <v>Nov</v>
      </c>
      <c r="D80" s="2" t="s">
        <v>21</v>
      </c>
      <c r="E80" s="6">
        <v>12.99</v>
      </c>
      <c r="F80" s="8">
        <v>477.29</v>
      </c>
      <c r="G80" s="4">
        <f t="shared" si="3"/>
        <v>6199.9971000000005</v>
      </c>
      <c r="H80" s="2" t="s">
        <v>36</v>
      </c>
      <c r="I80" s="2" t="s">
        <v>22</v>
      </c>
      <c r="J80" s="2" t="s">
        <v>31</v>
      </c>
      <c r="K80" s="2" t="s">
        <v>16</v>
      </c>
    </row>
    <row r="81" spans="1:11" x14ac:dyDescent="0.3">
      <c r="A81" s="2">
        <v>10536</v>
      </c>
      <c r="B81" s="3">
        <v>44889</v>
      </c>
      <c r="C81" s="3" t="str">
        <f t="shared" si="2"/>
        <v>Nov</v>
      </c>
      <c r="D81" s="2" t="s">
        <v>25</v>
      </c>
      <c r="E81" s="6">
        <v>9.9499999999999993</v>
      </c>
      <c r="F81" s="8">
        <v>201.01</v>
      </c>
      <c r="G81" s="4">
        <f t="shared" si="3"/>
        <v>2000.0494999999999</v>
      </c>
      <c r="H81" s="2" t="s">
        <v>36</v>
      </c>
      <c r="I81" s="2" t="s">
        <v>22</v>
      </c>
      <c r="J81" s="2" t="s">
        <v>31</v>
      </c>
      <c r="K81" s="2" t="s">
        <v>16</v>
      </c>
    </row>
    <row r="82" spans="1:11" x14ac:dyDescent="0.3">
      <c r="A82" s="2">
        <v>10540</v>
      </c>
      <c r="B82" s="3">
        <v>44890</v>
      </c>
      <c r="C82" s="3" t="str">
        <f t="shared" si="2"/>
        <v>Nov</v>
      </c>
      <c r="D82" s="2" t="s">
        <v>21</v>
      </c>
      <c r="E82" s="6">
        <v>12.99</v>
      </c>
      <c r="F82" s="8">
        <v>461.89</v>
      </c>
      <c r="G82" s="4">
        <f t="shared" si="3"/>
        <v>5999.9511000000002</v>
      </c>
      <c r="H82" s="2" t="s">
        <v>36</v>
      </c>
      <c r="I82" s="2" t="s">
        <v>22</v>
      </c>
      <c r="J82" s="2" t="s">
        <v>31</v>
      </c>
      <c r="K82" s="2" t="s">
        <v>16</v>
      </c>
    </row>
    <row r="83" spans="1:11" x14ac:dyDescent="0.3">
      <c r="A83" s="2">
        <v>10541</v>
      </c>
      <c r="B83" s="3">
        <v>44890</v>
      </c>
      <c r="C83" s="3" t="str">
        <f t="shared" si="2"/>
        <v>Nov</v>
      </c>
      <c r="D83" s="2" t="s">
        <v>25</v>
      </c>
      <c r="E83" s="6">
        <v>9.9499999999999993</v>
      </c>
      <c r="F83" s="8">
        <v>201.01</v>
      </c>
      <c r="G83" s="4">
        <f t="shared" si="3"/>
        <v>2000.0494999999999</v>
      </c>
      <c r="H83" s="2" t="s">
        <v>36</v>
      </c>
      <c r="I83" s="2" t="s">
        <v>22</v>
      </c>
      <c r="J83" s="2" t="s">
        <v>38</v>
      </c>
      <c r="K83" s="2" t="s">
        <v>13</v>
      </c>
    </row>
    <row r="84" spans="1:11" x14ac:dyDescent="0.3">
      <c r="A84" s="2">
        <v>10542</v>
      </c>
      <c r="B84" s="3">
        <v>44890</v>
      </c>
      <c r="C84" s="3" t="str">
        <f t="shared" si="2"/>
        <v>Nov</v>
      </c>
      <c r="D84" s="2" t="s">
        <v>9</v>
      </c>
      <c r="E84" s="6">
        <v>3.49</v>
      </c>
      <c r="F84" s="8">
        <v>630.37</v>
      </c>
      <c r="G84" s="4">
        <f t="shared" si="3"/>
        <v>2199.9913000000001</v>
      </c>
      <c r="H84" s="2" t="s">
        <v>36</v>
      </c>
      <c r="I84" s="2" t="s">
        <v>22</v>
      </c>
      <c r="J84" s="2" t="s">
        <v>38</v>
      </c>
      <c r="K84" s="2" t="s">
        <v>13</v>
      </c>
    </row>
    <row r="85" spans="1:11" x14ac:dyDescent="0.3">
      <c r="A85" s="2">
        <v>10543</v>
      </c>
      <c r="B85" s="3">
        <v>44890</v>
      </c>
      <c r="C85" s="3" t="str">
        <f t="shared" si="2"/>
        <v>Nov</v>
      </c>
      <c r="D85" s="2" t="s">
        <v>14</v>
      </c>
      <c r="E85" s="6">
        <v>2.95</v>
      </c>
      <c r="F85" s="8">
        <v>745.76</v>
      </c>
      <c r="G85" s="4">
        <f t="shared" si="3"/>
        <v>2199.9920000000002</v>
      </c>
      <c r="H85" s="2" t="s">
        <v>36</v>
      </c>
      <c r="I85" s="2" t="s">
        <v>22</v>
      </c>
      <c r="J85" s="2" t="s">
        <v>38</v>
      </c>
      <c r="K85" s="2" t="s">
        <v>13</v>
      </c>
    </row>
    <row r="86" spans="1:11" x14ac:dyDescent="0.3">
      <c r="A86" s="2">
        <v>10544</v>
      </c>
      <c r="B86" s="3">
        <v>44890</v>
      </c>
      <c r="C86" s="3" t="str">
        <f t="shared" si="2"/>
        <v>Nov</v>
      </c>
      <c r="D86" s="2" t="s">
        <v>17</v>
      </c>
      <c r="E86" s="6">
        <v>4.99</v>
      </c>
      <c r="F86" s="8">
        <v>200.4</v>
      </c>
      <c r="G86" s="4">
        <f t="shared" si="3"/>
        <v>999.99600000000009</v>
      </c>
      <c r="H86" s="2" t="s">
        <v>36</v>
      </c>
      <c r="I86" s="2" t="s">
        <v>22</v>
      </c>
      <c r="J86" s="2" t="s">
        <v>38</v>
      </c>
      <c r="K86" s="2" t="s">
        <v>13</v>
      </c>
    </row>
    <row r="87" spans="1:11" x14ac:dyDescent="0.3">
      <c r="A87" s="2">
        <v>10545</v>
      </c>
      <c r="B87" s="3">
        <v>44891</v>
      </c>
      <c r="C87" s="3" t="str">
        <f t="shared" si="2"/>
        <v>Nov</v>
      </c>
      <c r="D87" s="2" t="s">
        <v>21</v>
      </c>
      <c r="E87" s="6">
        <v>12.99</v>
      </c>
      <c r="F87" s="8">
        <v>446.5</v>
      </c>
      <c r="G87" s="4">
        <f t="shared" si="3"/>
        <v>5800.0349999999999</v>
      </c>
      <c r="H87" s="2" t="s">
        <v>36</v>
      </c>
      <c r="I87" s="2" t="s">
        <v>22</v>
      </c>
      <c r="J87" s="2" t="s">
        <v>38</v>
      </c>
      <c r="K87" s="2" t="s">
        <v>13</v>
      </c>
    </row>
    <row r="88" spans="1:11" x14ac:dyDescent="0.3">
      <c r="A88" s="2">
        <v>10546</v>
      </c>
      <c r="B88" s="3">
        <v>44891</v>
      </c>
      <c r="C88" s="3" t="str">
        <f t="shared" si="2"/>
        <v>Nov</v>
      </c>
      <c r="D88" s="2" t="s">
        <v>25</v>
      </c>
      <c r="E88" s="6">
        <v>9.9499999999999993</v>
      </c>
      <c r="F88" s="8">
        <v>201.01</v>
      </c>
      <c r="G88" s="4">
        <f t="shared" si="3"/>
        <v>2000.0494999999999</v>
      </c>
      <c r="H88" s="2" t="s">
        <v>36</v>
      </c>
      <c r="I88" s="2" t="s">
        <v>22</v>
      </c>
      <c r="J88" s="2" t="s">
        <v>38</v>
      </c>
      <c r="K88" s="2" t="s">
        <v>13</v>
      </c>
    </row>
    <row r="89" spans="1:11" x14ac:dyDescent="0.3">
      <c r="A89" s="2">
        <v>10547</v>
      </c>
      <c r="B89" s="3">
        <v>44891</v>
      </c>
      <c r="C89" s="3" t="str">
        <f t="shared" si="2"/>
        <v>Nov</v>
      </c>
      <c r="D89" s="2" t="s">
        <v>9</v>
      </c>
      <c r="E89" s="6">
        <v>3.49</v>
      </c>
      <c r="F89" s="8">
        <v>630.37</v>
      </c>
      <c r="G89" s="4">
        <f t="shared" si="3"/>
        <v>2199.9913000000001</v>
      </c>
      <c r="H89" s="2" t="s">
        <v>36</v>
      </c>
      <c r="I89" s="2" t="s">
        <v>22</v>
      </c>
      <c r="J89" s="2" t="s">
        <v>38</v>
      </c>
      <c r="K89" s="2" t="s">
        <v>13</v>
      </c>
    </row>
    <row r="90" spans="1:11" x14ac:dyDescent="0.3">
      <c r="A90" s="2">
        <v>10548</v>
      </c>
      <c r="B90" s="3">
        <v>44891</v>
      </c>
      <c r="C90" s="3" t="str">
        <f t="shared" si="2"/>
        <v>Nov</v>
      </c>
      <c r="D90" s="2" t="s">
        <v>14</v>
      </c>
      <c r="E90" s="6">
        <v>2.95</v>
      </c>
      <c r="F90" s="8">
        <v>745.76</v>
      </c>
      <c r="G90" s="4">
        <f t="shared" si="3"/>
        <v>2199.9920000000002</v>
      </c>
      <c r="H90" s="2" t="s">
        <v>36</v>
      </c>
      <c r="I90" s="2" t="s">
        <v>22</v>
      </c>
      <c r="J90" s="2" t="s">
        <v>38</v>
      </c>
      <c r="K90" s="2" t="s">
        <v>13</v>
      </c>
    </row>
    <row r="91" spans="1:11" x14ac:dyDescent="0.3">
      <c r="A91" s="2">
        <v>10549</v>
      </c>
      <c r="B91" s="3">
        <v>44891</v>
      </c>
      <c r="C91" s="3" t="str">
        <f t="shared" si="2"/>
        <v>Nov</v>
      </c>
      <c r="D91" s="2" t="s">
        <v>17</v>
      </c>
      <c r="E91" s="6">
        <v>4.99</v>
      </c>
      <c r="F91" s="8">
        <v>200.4</v>
      </c>
      <c r="G91" s="4">
        <f t="shared" si="3"/>
        <v>999.99600000000009</v>
      </c>
      <c r="H91" s="2" t="s">
        <v>36</v>
      </c>
      <c r="I91" s="2" t="s">
        <v>22</v>
      </c>
      <c r="J91" s="2" t="s">
        <v>38</v>
      </c>
      <c r="K91" s="2" t="s">
        <v>13</v>
      </c>
    </row>
    <row r="92" spans="1:11" x14ac:dyDescent="0.3">
      <c r="A92" s="2">
        <v>10550</v>
      </c>
      <c r="B92" s="3">
        <v>44892</v>
      </c>
      <c r="C92" s="3" t="str">
        <f t="shared" si="2"/>
        <v>Nov</v>
      </c>
      <c r="D92" s="2" t="s">
        <v>21</v>
      </c>
      <c r="E92" s="6">
        <v>12.99</v>
      </c>
      <c r="F92" s="8">
        <v>461.89</v>
      </c>
      <c r="G92" s="4">
        <f t="shared" si="3"/>
        <v>5999.9511000000002</v>
      </c>
      <c r="H92" s="2" t="s">
        <v>36</v>
      </c>
      <c r="I92" s="2" t="s">
        <v>22</v>
      </c>
      <c r="J92" s="2" t="s">
        <v>38</v>
      </c>
      <c r="K92" s="2" t="s">
        <v>13</v>
      </c>
    </row>
    <row r="93" spans="1:11" x14ac:dyDescent="0.3">
      <c r="A93" s="2">
        <v>10551</v>
      </c>
      <c r="B93" s="3">
        <v>44892</v>
      </c>
      <c r="C93" s="3" t="str">
        <f t="shared" si="2"/>
        <v>Nov</v>
      </c>
      <c r="D93" s="2" t="s">
        <v>25</v>
      </c>
      <c r="E93" s="6">
        <v>9.9499999999999993</v>
      </c>
      <c r="F93" s="8">
        <v>201.01</v>
      </c>
      <c r="G93" s="4">
        <f t="shared" si="3"/>
        <v>2000.0494999999999</v>
      </c>
      <c r="H93" s="2" t="s">
        <v>36</v>
      </c>
      <c r="I93" s="2" t="s">
        <v>22</v>
      </c>
      <c r="J93" s="2" t="s">
        <v>38</v>
      </c>
      <c r="K93" s="2" t="s">
        <v>13</v>
      </c>
    </row>
    <row r="94" spans="1:11" x14ac:dyDescent="0.3">
      <c r="A94" s="2">
        <v>10552</v>
      </c>
      <c r="B94" s="3">
        <v>44892</v>
      </c>
      <c r="C94" s="3" t="str">
        <f t="shared" si="2"/>
        <v>Nov</v>
      </c>
      <c r="D94" s="2" t="s">
        <v>9</v>
      </c>
      <c r="E94" s="6">
        <v>3.49</v>
      </c>
      <c r="F94" s="8">
        <v>630.37</v>
      </c>
      <c r="G94" s="4">
        <f t="shared" si="3"/>
        <v>2199.9913000000001</v>
      </c>
      <c r="H94" s="2" t="s">
        <v>10</v>
      </c>
      <c r="I94" s="2" t="s">
        <v>22</v>
      </c>
      <c r="J94" s="2" t="s">
        <v>38</v>
      </c>
      <c r="K94" s="2" t="s">
        <v>13</v>
      </c>
    </row>
    <row r="95" spans="1:11" x14ac:dyDescent="0.3">
      <c r="A95" s="2">
        <v>10553</v>
      </c>
      <c r="B95" s="3">
        <v>44892</v>
      </c>
      <c r="C95" s="3" t="str">
        <f t="shared" si="2"/>
        <v>Nov</v>
      </c>
      <c r="D95" s="2" t="s">
        <v>14</v>
      </c>
      <c r="E95" s="6">
        <v>2.95</v>
      </c>
      <c r="F95" s="8">
        <v>745.76</v>
      </c>
      <c r="G95" s="4">
        <f t="shared" si="3"/>
        <v>2199.9920000000002</v>
      </c>
      <c r="H95" s="2" t="s">
        <v>10</v>
      </c>
      <c r="I95" s="2" t="s">
        <v>22</v>
      </c>
      <c r="J95" s="2" t="s">
        <v>38</v>
      </c>
      <c r="K95" s="2" t="s">
        <v>13</v>
      </c>
    </row>
    <row r="96" spans="1:11" x14ac:dyDescent="0.3">
      <c r="A96" s="2">
        <v>10554</v>
      </c>
      <c r="B96" s="3">
        <v>44892</v>
      </c>
      <c r="C96" s="3" t="str">
        <f t="shared" si="2"/>
        <v>Nov</v>
      </c>
      <c r="D96" s="2" t="s">
        <v>17</v>
      </c>
      <c r="E96" s="6">
        <v>4.99</v>
      </c>
      <c r="F96" s="8">
        <v>200.4</v>
      </c>
      <c r="G96" s="4">
        <f t="shared" si="3"/>
        <v>999.99600000000009</v>
      </c>
      <c r="H96" s="2" t="s">
        <v>10</v>
      </c>
      <c r="I96" s="2" t="s">
        <v>22</v>
      </c>
      <c r="J96" s="2" t="s">
        <v>38</v>
      </c>
      <c r="K96" s="2" t="s">
        <v>13</v>
      </c>
    </row>
    <row r="97" spans="1:11" x14ac:dyDescent="0.3">
      <c r="A97" s="2">
        <v>10555</v>
      </c>
      <c r="B97" s="3">
        <v>44893</v>
      </c>
      <c r="C97" s="3" t="str">
        <f t="shared" si="2"/>
        <v>Nov</v>
      </c>
      <c r="D97" s="2" t="s">
        <v>21</v>
      </c>
      <c r="E97" s="6">
        <v>12.99</v>
      </c>
      <c r="F97" s="8">
        <v>477.29</v>
      </c>
      <c r="G97" s="4">
        <f t="shared" si="3"/>
        <v>6199.9971000000005</v>
      </c>
      <c r="H97" s="2" t="s">
        <v>10</v>
      </c>
      <c r="I97" s="2" t="s">
        <v>22</v>
      </c>
      <c r="J97" s="2" t="s">
        <v>38</v>
      </c>
      <c r="K97" s="2" t="s">
        <v>13</v>
      </c>
    </row>
    <row r="98" spans="1:11" x14ac:dyDescent="0.3">
      <c r="A98" s="2">
        <v>10556</v>
      </c>
      <c r="B98" s="3">
        <v>44893</v>
      </c>
      <c r="C98" s="3" t="str">
        <f t="shared" si="2"/>
        <v>Nov</v>
      </c>
      <c r="D98" s="2" t="s">
        <v>25</v>
      </c>
      <c r="E98" s="6">
        <v>9.9499999999999993</v>
      </c>
      <c r="F98" s="8">
        <v>201.01</v>
      </c>
      <c r="G98" s="4">
        <f t="shared" si="3"/>
        <v>2000.0494999999999</v>
      </c>
      <c r="H98" s="2" t="s">
        <v>10</v>
      </c>
      <c r="I98" s="2" t="s">
        <v>22</v>
      </c>
      <c r="J98" s="2" t="s">
        <v>38</v>
      </c>
      <c r="K98" s="2" t="s">
        <v>13</v>
      </c>
    </row>
    <row r="99" spans="1:11" x14ac:dyDescent="0.3">
      <c r="A99" s="2">
        <v>10557</v>
      </c>
      <c r="B99" s="3">
        <v>44893</v>
      </c>
      <c r="C99" s="3" t="str">
        <f t="shared" si="2"/>
        <v>Nov</v>
      </c>
      <c r="D99" s="2" t="s">
        <v>9</v>
      </c>
      <c r="E99" s="6">
        <v>3.49</v>
      </c>
      <c r="F99" s="8">
        <v>630.37</v>
      </c>
      <c r="G99" s="4">
        <f t="shared" si="3"/>
        <v>2199.9913000000001</v>
      </c>
      <c r="H99" s="2" t="s">
        <v>10</v>
      </c>
      <c r="I99" s="2" t="s">
        <v>22</v>
      </c>
      <c r="J99" s="2" t="s">
        <v>38</v>
      </c>
      <c r="K99" s="2" t="s">
        <v>13</v>
      </c>
    </row>
    <row r="100" spans="1:11" x14ac:dyDescent="0.3">
      <c r="A100" s="2">
        <v>10558</v>
      </c>
      <c r="B100" s="3">
        <v>44893</v>
      </c>
      <c r="C100" s="3" t="str">
        <f t="shared" si="2"/>
        <v>Nov</v>
      </c>
      <c r="D100" s="2" t="s">
        <v>14</v>
      </c>
      <c r="E100" s="6">
        <v>2.95</v>
      </c>
      <c r="F100" s="8">
        <v>677.97</v>
      </c>
      <c r="G100" s="4">
        <f t="shared" si="3"/>
        <v>2000.0115000000003</v>
      </c>
      <c r="H100" s="2" t="s">
        <v>10</v>
      </c>
      <c r="I100" s="2" t="s">
        <v>22</v>
      </c>
      <c r="J100" s="2" t="s">
        <v>38</v>
      </c>
      <c r="K100" s="2" t="s">
        <v>13</v>
      </c>
    </row>
    <row r="101" spans="1:11" x14ac:dyDescent="0.3">
      <c r="A101" s="2">
        <v>10559</v>
      </c>
      <c r="B101" s="3">
        <v>44893</v>
      </c>
      <c r="C101" s="3" t="str">
        <f t="shared" si="2"/>
        <v>Nov</v>
      </c>
      <c r="D101" s="2" t="s">
        <v>17</v>
      </c>
      <c r="E101" s="6">
        <v>4.99</v>
      </c>
      <c r="F101" s="8">
        <v>200.4</v>
      </c>
      <c r="G101" s="4">
        <f t="shared" si="3"/>
        <v>999.99600000000009</v>
      </c>
      <c r="H101" s="2" t="s">
        <v>10</v>
      </c>
      <c r="I101" s="2" t="s">
        <v>22</v>
      </c>
      <c r="J101" s="2" t="s">
        <v>38</v>
      </c>
      <c r="K101" s="2" t="s">
        <v>13</v>
      </c>
    </row>
    <row r="102" spans="1:11" x14ac:dyDescent="0.3">
      <c r="A102" s="2">
        <v>10560</v>
      </c>
      <c r="B102" s="3">
        <v>44894</v>
      </c>
      <c r="C102" s="3" t="str">
        <f t="shared" si="2"/>
        <v>Nov</v>
      </c>
      <c r="D102" s="2" t="s">
        <v>21</v>
      </c>
      <c r="E102" s="6">
        <v>12.99</v>
      </c>
      <c r="F102" s="8">
        <v>477.29</v>
      </c>
      <c r="G102" s="4">
        <f t="shared" si="3"/>
        <v>6199.9971000000005</v>
      </c>
      <c r="H102" s="2" t="s">
        <v>10</v>
      </c>
      <c r="I102" s="2" t="s">
        <v>22</v>
      </c>
      <c r="J102" s="2" t="s">
        <v>38</v>
      </c>
      <c r="K102" s="2" t="s">
        <v>13</v>
      </c>
    </row>
    <row r="103" spans="1:11" x14ac:dyDescent="0.3">
      <c r="A103" s="2">
        <v>10561</v>
      </c>
      <c r="B103" s="3">
        <v>44894</v>
      </c>
      <c r="C103" s="3" t="str">
        <f t="shared" si="2"/>
        <v>Nov</v>
      </c>
      <c r="D103" s="2" t="s">
        <v>25</v>
      </c>
      <c r="E103" s="6">
        <v>9.9499999999999993</v>
      </c>
      <c r="F103" s="8">
        <v>201.01</v>
      </c>
      <c r="G103" s="4">
        <f t="shared" si="3"/>
        <v>2000.0494999999999</v>
      </c>
      <c r="H103" s="2" t="s">
        <v>10</v>
      </c>
      <c r="I103" s="2" t="s">
        <v>22</v>
      </c>
      <c r="J103" s="2" t="s">
        <v>38</v>
      </c>
      <c r="K103" s="2" t="s">
        <v>13</v>
      </c>
    </row>
    <row r="104" spans="1:11" x14ac:dyDescent="0.3">
      <c r="A104" s="2">
        <v>10562</v>
      </c>
      <c r="B104" s="3">
        <v>44894</v>
      </c>
      <c r="C104" s="3" t="str">
        <f t="shared" si="2"/>
        <v>Nov</v>
      </c>
      <c r="D104" s="2" t="s">
        <v>9</v>
      </c>
      <c r="E104" s="6">
        <v>3.49</v>
      </c>
      <c r="F104" s="8">
        <v>630.37</v>
      </c>
      <c r="G104" s="4">
        <f t="shared" si="3"/>
        <v>2199.9913000000001</v>
      </c>
      <c r="H104" s="2" t="s">
        <v>10</v>
      </c>
      <c r="I104" s="2" t="s">
        <v>22</v>
      </c>
      <c r="J104" s="2" t="s">
        <v>38</v>
      </c>
      <c r="K104" s="2" t="s">
        <v>13</v>
      </c>
    </row>
    <row r="105" spans="1:11" x14ac:dyDescent="0.3">
      <c r="A105" s="2">
        <v>10563</v>
      </c>
      <c r="B105" s="3">
        <v>44894</v>
      </c>
      <c r="C105" s="3" t="str">
        <f t="shared" si="2"/>
        <v>Nov</v>
      </c>
      <c r="D105" s="2" t="s">
        <v>14</v>
      </c>
      <c r="E105" s="6">
        <v>2.95</v>
      </c>
      <c r="F105" s="8">
        <v>677.97</v>
      </c>
      <c r="G105" s="4">
        <f t="shared" si="3"/>
        <v>2000.0115000000003</v>
      </c>
      <c r="H105" s="2" t="s">
        <v>10</v>
      </c>
      <c r="I105" s="2" t="s">
        <v>22</v>
      </c>
      <c r="J105" s="2" t="s">
        <v>38</v>
      </c>
      <c r="K105" s="2" t="s">
        <v>13</v>
      </c>
    </row>
    <row r="106" spans="1:11" x14ac:dyDescent="0.3">
      <c r="A106" s="2">
        <v>10564</v>
      </c>
      <c r="B106" s="3">
        <v>44894</v>
      </c>
      <c r="C106" s="3" t="str">
        <f t="shared" si="2"/>
        <v>Nov</v>
      </c>
      <c r="D106" s="2" t="s">
        <v>17</v>
      </c>
      <c r="E106" s="6">
        <v>4.99</v>
      </c>
      <c r="F106" s="8">
        <v>200.4</v>
      </c>
      <c r="G106" s="4">
        <f t="shared" si="3"/>
        <v>999.99600000000009</v>
      </c>
      <c r="H106" s="2" t="s">
        <v>10</v>
      </c>
      <c r="I106" s="2" t="s">
        <v>22</v>
      </c>
      <c r="J106" s="2" t="s">
        <v>38</v>
      </c>
      <c r="K106" s="2" t="s">
        <v>13</v>
      </c>
    </row>
    <row r="107" spans="1:11" x14ac:dyDescent="0.3">
      <c r="A107" s="2">
        <v>10565</v>
      </c>
      <c r="B107" s="3">
        <v>44895</v>
      </c>
      <c r="C107" s="3" t="str">
        <f t="shared" si="2"/>
        <v>Nov</v>
      </c>
      <c r="D107" s="2" t="s">
        <v>21</v>
      </c>
      <c r="E107" s="6">
        <v>12.99</v>
      </c>
      <c r="F107" s="8">
        <v>492.69</v>
      </c>
      <c r="G107" s="4">
        <f t="shared" si="3"/>
        <v>6400.0430999999999</v>
      </c>
      <c r="H107" s="2" t="s">
        <v>10</v>
      </c>
      <c r="I107" s="2" t="s">
        <v>22</v>
      </c>
      <c r="J107" s="2" t="s">
        <v>38</v>
      </c>
      <c r="K107" s="2" t="s">
        <v>13</v>
      </c>
    </row>
    <row r="108" spans="1:11" x14ac:dyDescent="0.3">
      <c r="A108" s="2">
        <v>10566</v>
      </c>
      <c r="B108" s="3">
        <v>44895</v>
      </c>
      <c r="C108" s="3" t="str">
        <f t="shared" si="2"/>
        <v>Nov</v>
      </c>
      <c r="D108" s="2" t="s">
        <v>25</v>
      </c>
      <c r="E108" s="6">
        <v>9.9499999999999993</v>
      </c>
      <c r="F108" s="8">
        <v>201.01</v>
      </c>
      <c r="G108" s="4">
        <f t="shared" si="3"/>
        <v>2000.0494999999999</v>
      </c>
      <c r="H108" s="2" t="s">
        <v>10</v>
      </c>
      <c r="I108" s="2" t="s">
        <v>22</v>
      </c>
      <c r="J108" s="2" t="s">
        <v>38</v>
      </c>
      <c r="K108" s="2" t="s">
        <v>13</v>
      </c>
    </row>
    <row r="109" spans="1:11" x14ac:dyDescent="0.3">
      <c r="A109" s="2">
        <v>10567</v>
      </c>
      <c r="B109" s="3">
        <v>44895</v>
      </c>
      <c r="C109" s="3" t="str">
        <f t="shared" si="2"/>
        <v>Nov</v>
      </c>
      <c r="D109" s="2" t="s">
        <v>9</v>
      </c>
      <c r="E109" s="6">
        <v>3.49</v>
      </c>
      <c r="F109" s="8">
        <v>630.37</v>
      </c>
      <c r="G109" s="4">
        <f t="shared" si="3"/>
        <v>2199.9913000000001</v>
      </c>
      <c r="H109" s="2" t="s">
        <v>10</v>
      </c>
      <c r="I109" s="2" t="s">
        <v>22</v>
      </c>
      <c r="J109" s="2" t="s">
        <v>38</v>
      </c>
      <c r="K109" s="2" t="s">
        <v>13</v>
      </c>
    </row>
    <row r="110" spans="1:11" x14ac:dyDescent="0.3">
      <c r="A110" s="2">
        <v>10568</v>
      </c>
      <c r="B110" s="3">
        <v>44895</v>
      </c>
      <c r="C110" s="3" t="str">
        <f t="shared" si="2"/>
        <v>Nov</v>
      </c>
      <c r="D110" s="2" t="s">
        <v>14</v>
      </c>
      <c r="E110" s="6">
        <v>2.95</v>
      </c>
      <c r="F110" s="8">
        <v>677.97</v>
      </c>
      <c r="G110" s="4">
        <f t="shared" si="3"/>
        <v>2000.0115000000003</v>
      </c>
      <c r="H110" s="2" t="s">
        <v>10</v>
      </c>
      <c r="I110" s="2" t="s">
        <v>22</v>
      </c>
      <c r="J110" s="2" t="s">
        <v>38</v>
      </c>
      <c r="K110" s="2" t="s">
        <v>13</v>
      </c>
    </row>
    <row r="111" spans="1:11" x14ac:dyDescent="0.3">
      <c r="A111" s="2">
        <v>10569</v>
      </c>
      <c r="B111" s="3">
        <v>44895</v>
      </c>
      <c r="C111" s="3" t="str">
        <f t="shared" si="2"/>
        <v>Nov</v>
      </c>
      <c r="D111" s="2" t="s">
        <v>17</v>
      </c>
      <c r="E111" s="6">
        <v>4.99</v>
      </c>
      <c r="F111" s="8">
        <v>200.4</v>
      </c>
      <c r="G111" s="4">
        <f t="shared" si="3"/>
        <v>999.99600000000009</v>
      </c>
      <c r="H111" s="2" t="s">
        <v>10</v>
      </c>
      <c r="I111" s="2" t="s">
        <v>22</v>
      </c>
      <c r="J111" s="2" t="s">
        <v>38</v>
      </c>
      <c r="K111" s="2" t="s">
        <v>13</v>
      </c>
    </row>
    <row r="112" spans="1:11" x14ac:dyDescent="0.3">
      <c r="A112" s="2">
        <v>10570</v>
      </c>
      <c r="B112" s="3">
        <v>44896</v>
      </c>
      <c r="C112" s="3" t="str">
        <f t="shared" si="2"/>
        <v>Dec</v>
      </c>
      <c r="D112" s="2" t="s">
        <v>21</v>
      </c>
      <c r="E112" s="6">
        <v>12.99</v>
      </c>
      <c r="F112" s="8">
        <v>492.69</v>
      </c>
      <c r="G112" s="4">
        <f t="shared" si="3"/>
        <v>6400.0430999999999</v>
      </c>
      <c r="H112" s="2" t="s">
        <v>10</v>
      </c>
      <c r="I112" s="2" t="s">
        <v>22</v>
      </c>
      <c r="J112" s="2" t="s">
        <v>38</v>
      </c>
      <c r="K112" s="2" t="s">
        <v>13</v>
      </c>
    </row>
    <row r="113" spans="1:11" x14ac:dyDescent="0.3">
      <c r="A113" s="2">
        <v>10571</v>
      </c>
      <c r="B113" s="3">
        <v>44896</v>
      </c>
      <c r="C113" s="3" t="str">
        <f t="shared" si="2"/>
        <v>Dec</v>
      </c>
      <c r="D113" s="2" t="s">
        <v>25</v>
      </c>
      <c r="E113" s="6">
        <v>9.9499999999999993</v>
      </c>
      <c r="F113" s="8">
        <v>201.01</v>
      </c>
      <c r="G113" s="4">
        <f t="shared" si="3"/>
        <v>2000.0494999999999</v>
      </c>
      <c r="H113" s="2" t="s">
        <v>10</v>
      </c>
      <c r="I113" s="2" t="s">
        <v>22</v>
      </c>
      <c r="J113" s="2" t="s">
        <v>38</v>
      </c>
      <c r="K113" s="2" t="s">
        <v>13</v>
      </c>
    </row>
    <row r="114" spans="1:11" x14ac:dyDescent="0.3">
      <c r="A114" s="2">
        <v>10572</v>
      </c>
      <c r="B114" s="3">
        <v>44896</v>
      </c>
      <c r="C114" s="3" t="str">
        <f t="shared" si="2"/>
        <v>Dec</v>
      </c>
      <c r="D114" s="2" t="s">
        <v>9</v>
      </c>
      <c r="E114" s="6">
        <v>3.49</v>
      </c>
      <c r="F114" s="8">
        <v>573.07000000000005</v>
      </c>
      <c r="G114" s="4">
        <f t="shared" si="3"/>
        <v>2000.0143000000003</v>
      </c>
      <c r="H114" s="2" t="s">
        <v>10</v>
      </c>
      <c r="I114" s="2" t="s">
        <v>22</v>
      </c>
      <c r="J114" s="2" t="s">
        <v>28</v>
      </c>
      <c r="K114" s="2" t="s">
        <v>27</v>
      </c>
    </row>
    <row r="115" spans="1:11" x14ac:dyDescent="0.3">
      <c r="A115" s="2">
        <v>10573</v>
      </c>
      <c r="B115" s="3">
        <v>44896</v>
      </c>
      <c r="C115" s="3" t="str">
        <f t="shared" si="2"/>
        <v>Dec</v>
      </c>
      <c r="D115" s="2" t="s">
        <v>14</v>
      </c>
      <c r="E115" s="6">
        <v>2.95</v>
      </c>
      <c r="F115" s="8">
        <v>677.97</v>
      </c>
      <c r="G115" s="4">
        <f t="shared" si="3"/>
        <v>2000.0115000000003</v>
      </c>
      <c r="H115" s="2" t="s">
        <v>10</v>
      </c>
      <c r="I115" s="2" t="s">
        <v>22</v>
      </c>
      <c r="J115" s="2" t="s">
        <v>28</v>
      </c>
      <c r="K115" s="2" t="s">
        <v>27</v>
      </c>
    </row>
    <row r="116" spans="1:11" x14ac:dyDescent="0.3">
      <c r="A116" s="2">
        <v>10574</v>
      </c>
      <c r="B116" s="3">
        <v>44896</v>
      </c>
      <c r="C116" s="3" t="str">
        <f t="shared" si="2"/>
        <v>Dec</v>
      </c>
      <c r="D116" s="2" t="s">
        <v>17</v>
      </c>
      <c r="E116" s="6">
        <v>4.99</v>
      </c>
      <c r="F116" s="8">
        <v>200.4</v>
      </c>
      <c r="G116" s="4">
        <f t="shared" si="3"/>
        <v>999.99600000000009</v>
      </c>
      <c r="H116" s="2" t="s">
        <v>10</v>
      </c>
      <c r="I116" s="2" t="s">
        <v>22</v>
      </c>
      <c r="J116" s="2" t="s">
        <v>28</v>
      </c>
      <c r="K116" s="2" t="s">
        <v>27</v>
      </c>
    </row>
    <row r="117" spans="1:11" x14ac:dyDescent="0.3">
      <c r="A117" s="2">
        <v>10575</v>
      </c>
      <c r="B117" s="3">
        <v>44897</v>
      </c>
      <c r="C117" s="3" t="str">
        <f t="shared" si="2"/>
        <v>Dec</v>
      </c>
      <c r="D117" s="2" t="s">
        <v>21</v>
      </c>
      <c r="E117" s="6">
        <v>12.99</v>
      </c>
      <c r="F117" s="8">
        <v>523.48</v>
      </c>
      <c r="G117" s="4">
        <f t="shared" si="3"/>
        <v>6800.0052000000005</v>
      </c>
      <c r="H117" s="2" t="s">
        <v>10</v>
      </c>
      <c r="I117" s="2" t="s">
        <v>22</v>
      </c>
      <c r="J117" s="2" t="s">
        <v>28</v>
      </c>
      <c r="K117" s="2" t="s">
        <v>27</v>
      </c>
    </row>
    <row r="118" spans="1:11" x14ac:dyDescent="0.3">
      <c r="A118" s="2">
        <v>10576</v>
      </c>
      <c r="B118" s="3">
        <v>44897</v>
      </c>
      <c r="C118" s="3" t="str">
        <f t="shared" si="2"/>
        <v>Dec</v>
      </c>
      <c r="D118" s="2" t="s">
        <v>25</v>
      </c>
      <c r="E118" s="6">
        <v>9.9499999999999993</v>
      </c>
      <c r="F118" s="8">
        <v>201.01</v>
      </c>
      <c r="G118" s="4">
        <f t="shared" si="3"/>
        <v>2000.0494999999999</v>
      </c>
      <c r="H118" s="2" t="s">
        <v>10</v>
      </c>
      <c r="I118" s="2" t="s">
        <v>22</v>
      </c>
      <c r="J118" s="2" t="s">
        <v>28</v>
      </c>
      <c r="K118" s="2" t="s">
        <v>27</v>
      </c>
    </row>
    <row r="119" spans="1:11" x14ac:dyDescent="0.3">
      <c r="A119" s="2">
        <v>10577</v>
      </c>
      <c r="B119" s="3">
        <v>44897</v>
      </c>
      <c r="C119" s="3" t="str">
        <f t="shared" si="2"/>
        <v>Dec</v>
      </c>
      <c r="D119" s="2" t="s">
        <v>9</v>
      </c>
      <c r="E119" s="6">
        <v>3.49</v>
      </c>
      <c r="F119" s="8">
        <v>630.37</v>
      </c>
      <c r="G119" s="4">
        <f t="shared" si="3"/>
        <v>2199.9913000000001</v>
      </c>
      <c r="H119" s="2" t="s">
        <v>10</v>
      </c>
      <c r="I119" s="2" t="s">
        <v>22</v>
      </c>
      <c r="J119" s="2" t="s">
        <v>28</v>
      </c>
      <c r="K119" s="2" t="s">
        <v>27</v>
      </c>
    </row>
    <row r="120" spans="1:11" x14ac:dyDescent="0.3">
      <c r="A120" s="2">
        <v>10578</v>
      </c>
      <c r="B120" s="3">
        <v>44897</v>
      </c>
      <c r="C120" s="3" t="str">
        <f t="shared" si="2"/>
        <v>Dec</v>
      </c>
      <c r="D120" s="2" t="s">
        <v>14</v>
      </c>
      <c r="E120" s="6">
        <v>2.95</v>
      </c>
      <c r="F120" s="8">
        <v>677.97</v>
      </c>
      <c r="G120" s="4">
        <f t="shared" si="3"/>
        <v>2000.0115000000003</v>
      </c>
      <c r="H120" s="2" t="s">
        <v>10</v>
      </c>
      <c r="I120" s="2" t="s">
        <v>22</v>
      </c>
      <c r="J120" s="2" t="s">
        <v>28</v>
      </c>
      <c r="K120" s="2" t="s">
        <v>27</v>
      </c>
    </row>
    <row r="121" spans="1:11" x14ac:dyDescent="0.3">
      <c r="A121" s="2">
        <v>10579</v>
      </c>
      <c r="B121" s="3">
        <v>44897</v>
      </c>
      <c r="C121" s="3" t="str">
        <f t="shared" si="2"/>
        <v>Dec</v>
      </c>
      <c r="D121" s="2" t="s">
        <v>17</v>
      </c>
      <c r="E121" s="6">
        <v>4.99</v>
      </c>
      <c r="F121" s="8">
        <v>200.4</v>
      </c>
      <c r="G121" s="4">
        <f t="shared" si="3"/>
        <v>999.99600000000009</v>
      </c>
      <c r="H121" s="2" t="s">
        <v>10</v>
      </c>
      <c r="I121" s="2" t="s">
        <v>22</v>
      </c>
      <c r="J121" s="2" t="s">
        <v>28</v>
      </c>
      <c r="K121" s="2" t="s">
        <v>27</v>
      </c>
    </row>
    <row r="122" spans="1:11" x14ac:dyDescent="0.3">
      <c r="A122" s="2">
        <v>10580</v>
      </c>
      <c r="B122" s="3">
        <v>44898</v>
      </c>
      <c r="C122" s="3" t="str">
        <f t="shared" si="2"/>
        <v>Dec</v>
      </c>
      <c r="D122" s="2" t="s">
        <v>21</v>
      </c>
      <c r="E122" s="6">
        <v>12.99</v>
      </c>
      <c r="F122" s="8">
        <v>523.48</v>
      </c>
      <c r="G122" s="4">
        <f t="shared" si="3"/>
        <v>6800.0052000000005</v>
      </c>
      <c r="H122" s="2" t="s">
        <v>10</v>
      </c>
      <c r="I122" s="2" t="s">
        <v>22</v>
      </c>
      <c r="J122" s="2" t="s">
        <v>28</v>
      </c>
      <c r="K122" s="2" t="s">
        <v>27</v>
      </c>
    </row>
    <row r="123" spans="1:11" x14ac:dyDescent="0.3">
      <c r="A123" s="2">
        <v>10581</v>
      </c>
      <c r="B123" s="3">
        <v>44898</v>
      </c>
      <c r="C123" s="3" t="str">
        <f t="shared" si="2"/>
        <v>Dec</v>
      </c>
      <c r="D123" s="2" t="s">
        <v>25</v>
      </c>
      <c r="E123" s="6">
        <v>9.9499999999999993</v>
      </c>
      <c r="F123" s="8">
        <v>201.01</v>
      </c>
      <c r="G123" s="4">
        <f t="shared" si="3"/>
        <v>2000.0494999999999</v>
      </c>
      <c r="H123" s="2" t="s">
        <v>10</v>
      </c>
      <c r="I123" s="2" t="s">
        <v>22</v>
      </c>
      <c r="J123" s="2" t="s">
        <v>28</v>
      </c>
      <c r="K123" s="2" t="s">
        <v>27</v>
      </c>
    </row>
    <row r="124" spans="1:11" x14ac:dyDescent="0.3">
      <c r="A124" s="2">
        <v>10582</v>
      </c>
      <c r="B124" s="3">
        <v>44898</v>
      </c>
      <c r="C124" s="3" t="str">
        <f t="shared" si="2"/>
        <v>Dec</v>
      </c>
      <c r="D124" s="2" t="s">
        <v>9</v>
      </c>
      <c r="E124" s="6">
        <v>3.49</v>
      </c>
      <c r="F124" s="8">
        <v>630.37</v>
      </c>
      <c r="G124" s="4">
        <f t="shared" si="3"/>
        <v>2199.9913000000001</v>
      </c>
      <c r="H124" s="2" t="s">
        <v>10</v>
      </c>
      <c r="I124" s="2" t="s">
        <v>22</v>
      </c>
      <c r="J124" s="2" t="s">
        <v>38</v>
      </c>
      <c r="K124" s="2" t="s">
        <v>13</v>
      </c>
    </row>
    <row r="125" spans="1:11" x14ac:dyDescent="0.3">
      <c r="A125" s="2">
        <v>10583</v>
      </c>
      <c r="B125" s="3">
        <v>44898</v>
      </c>
      <c r="C125" s="3" t="str">
        <f t="shared" si="2"/>
        <v>Dec</v>
      </c>
      <c r="D125" s="2" t="s">
        <v>14</v>
      </c>
      <c r="E125" s="6">
        <v>2.95</v>
      </c>
      <c r="F125" s="8">
        <v>677.97</v>
      </c>
      <c r="G125" s="4">
        <f t="shared" si="3"/>
        <v>2000.0115000000003</v>
      </c>
      <c r="H125" s="2" t="s">
        <v>10</v>
      </c>
      <c r="I125" s="2" t="s">
        <v>22</v>
      </c>
      <c r="J125" s="2" t="s">
        <v>38</v>
      </c>
      <c r="K125" s="2" t="s">
        <v>13</v>
      </c>
    </row>
    <row r="126" spans="1:11" x14ac:dyDescent="0.3">
      <c r="A126" s="2">
        <v>10584</v>
      </c>
      <c r="B126" s="3">
        <v>44898</v>
      </c>
      <c r="C126" s="3" t="str">
        <f t="shared" si="2"/>
        <v>Dec</v>
      </c>
      <c r="D126" s="2" t="s">
        <v>17</v>
      </c>
      <c r="E126" s="6">
        <v>4.99</v>
      </c>
      <c r="F126" s="8">
        <v>200.4</v>
      </c>
      <c r="G126" s="4">
        <f t="shared" si="3"/>
        <v>999.99600000000009</v>
      </c>
      <c r="H126" s="2" t="s">
        <v>10</v>
      </c>
      <c r="I126" s="2" t="s">
        <v>22</v>
      </c>
      <c r="J126" s="2" t="s">
        <v>38</v>
      </c>
      <c r="K126" s="2" t="s">
        <v>13</v>
      </c>
    </row>
    <row r="127" spans="1:11" x14ac:dyDescent="0.3">
      <c r="A127" s="2">
        <v>10585</v>
      </c>
      <c r="B127" s="3">
        <v>44899</v>
      </c>
      <c r="C127" s="3" t="str">
        <f t="shared" si="2"/>
        <v>Dec</v>
      </c>
      <c r="D127" s="2" t="s">
        <v>21</v>
      </c>
      <c r="E127" s="6">
        <v>12.99</v>
      </c>
      <c r="F127" s="8">
        <v>538.88</v>
      </c>
      <c r="G127" s="4">
        <f t="shared" si="3"/>
        <v>7000.0511999999999</v>
      </c>
      <c r="H127" s="2" t="s">
        <v>10</v>
      </c>
      <c r="I127" s="2" t="s">
        <v>22</v>
      </c>
      <c r="J127" s="2" t="s">
        <v>38</v>
      </c>
      <c r="K127" s="2" t="s">
        <v>13</v>
      </c>
    </row>
    <row r="128" spans="1:11" x14ac:dyDescent="0.3">
      <c r="A128" s="2">
        <v>10586</v>
      </c>
      <c r="B128" s="3">
        <v>44899</v>
      </c>
      <c r="C128" s="3" t="str">
        <f t="shared" si="2"/>
        <v>Dec</v>
      </c>
      <c r="D128" s="2" t="s">
        <v>25</v>
      </c>
      <c r="E128" s="6">
        <v>9.9499999999999993</v>
      </c>
      <c r="F128" s="8">
        <v>201.01</v>
      </c>
      <c r="G128" s="4">
        <f t="shared" si="3"/>
        <v>2000.0494999999999</v>
      </c>
      <c r="H128" s="2" t="s">
        <v>10</v>
      </c>
      <c r="I128" s="2" t="s">
        <v>22</v>
      </c>
      <c r="J128" s="2" t="s">
        <v>38</v>
      </c>
      <c r="K128" s="2" t="s">
        <v>13</v>
      </c>
    </row>
    <row r="129" spans="1:11" x14ac:dyDescent="0.3">
      <c r="A129" s="2">
        <v>10537</v>
      </c>
      <c r="B129" s="3">
        <v>44889</v>
      </c>
      <c r="C129" s="3" t="str">
        <f t="shared" si="2"/>
        <v>Nov</v>
      </c>
      <c r="D129" s="2" t="s">
        <v>9</v>
      </c>
      <c r="E129" s="6">
        <v>3.49</v>
      </c>
      <c r="F129" s="8">
        <v>630.37</v>
      </c>
      <c r="G129" s="4">
        <f t="shared" si="3"/>
        <v>2199.9913000000001</v>
      </c>
      <c r="H129" s="2" t="s">
        <v>36</v>
      </c>
      <c r="I129" s="2" t="s">
        <v>22</v>
      </c>
      <c r="J129" s="2" t="s">
        <v>31</v>
      </c>
      <c r="K129" s="2" t="s">
        <v>16</v>
      </c>
    </row>
    <row r="130" spans="1:11" x14ac:dyDescent="0.3">
      <c r="A130" s="2">
        <v>10538</v>
      </c>
      <c r="B130" s="3">
        <v>44889</v>
      </c>
      <c r="C130" s="3" t="str">
        <f t="shared" si="2"/>
        <v>Nov</v>
      </c>
      <c r="D130" s="2" t="s">
        <v>14</v>
      </c>
      <c r="E130" s="6">
        <v>2.95</v>
      </c>
      <c r="F130" s="8">
        <v>745.76</v>
      </c>
      <c r="G130" s="4">
        <f t="shared" si="3"/>
        <v>2199.9920000000002</v>
      </c>
      <c r="H130" s="2" t="s">
        <v>36</v>
      </c>
      <c r="I130" s="2" t="s">
        <v>22</v>
      </c>
      <c r="J130" s="2" t="s">
        <v>31</v>
      </c>
      <c r="K130" s="2" t="s">
        <v>16</v>
      </c>
    </row>
    <row r="131" spans="1:11" x14ac:dyDescent="0.3">
      <c r="A131" s="2">
        <v>10539</v>
      </c>
      <c r="B131" s="3">
        <v>44889</v>
      </c>
      <c r="C131" s="3" t="str">
        <f t="shared" ref="C131:C194" si="4">TEXT(B131,"mmm")</f>
        <v>Nov</v>
      </c>
      <c r="D131" s="2" t="s">
        <v>17</v>
      </c>
      <c r="E131" s="6">
        <v>4.99</v>
      </c>
      <c r="F131" s="8">
        <v>200.4</v>
      </c>
      <c r="G131" s="4">
        <f t="shared" ref="G131:G194" si="5">E131*F131</f>
        <v>999.99600000000009</v>
      </c>
      <c r="H131" s="2" t="s">
        <v>36</v>
      </c>
      <c r="I131" s="2" t="s">
        <v>22</v>
      </c>
      <c r="J131" s="2" t="s">
        <v>31</v>
      </c>
      <c r="K131" s="2" t="s">
        <v>16</v>
      </c>
    </row>
    <row r="132" spans="1:11" x14ac:dyDescent="0.3">
      <c r="A132" s="2">
        <v>10590</v>
      </c>
      <c r="B132" s="3">
        <v>44900</v>
      </c>
      <c r="C132" s="3" t="str">
        <f t="shared" si="4"/>
        <v>Dec</v>
      </c>
      <c r="D132" s="2" t="s">
        <v>21</v>
      </c>
      <c r="E132" s="6">
        <v>12.99</v>
      </c>
      <c r="F132" s="8">
        <v>554.27</v>
      </c>
      <c r="G132" s="4">
        <f t="shared" si="5"/>
        <v>7199.9673000000003</v>
      </c>
      <c r="H132" s="2" t="s">
        <v>10</v>
      </c>
      <c r="I132" s="2" t="s">
        <v>22</v>
      </c>
      <c r="J132" s="2" t="s">
        <v>38</v>
      </c>
      <c r="K132" s="2" t="s">
        <v>13</v>
      </c>
    </row>
    <row r="133" spans="1:11" x14ac:dyDescent="0.3">
      <c r="A133" s="2">
        <v>10591</v>
      </c>
      <c r="B133" s="3">
        <v>44900</v>
      </c>
      <c r="C133" s="3" t="str">
        <f t="shared" si="4"/>
        <v>Dec</v>
      </c>
      <c r="D133" s="2" t="s">
        <v>25</v>
      </c>
      <c r="E133" s="6">
        <v>9.9499999999999993</v>
      </c>
      <c r="F133" s="8">
        <v>201.01</v>
      </c>
      <c r="G133" s="4">
        <f t="shared" si="5"/>
        <v>2000.0494999999999</v>
      </c>
      <c r="H133" s="2" t="s">
        <v>10</v>
      </c>
      <c r="I133" s="2" t="s">
        <v>22</v>
      </c>
      <c r="J133" s="2" t="s">
        <v>38</v>
      </c>
      <c r="K133" s="2" t="s">
        <v>13</v>
      </c>
    </row>
    <row r="134" spans="1:11" x14ac:dyDescent="0.3">
      <c r="A134" s="2">
        <v>10592</v>
      </c>
      <c r="B134" s="3">
        <v>44900</v>
      </c>
      <c r="C134" s="3" t="str">
        <f t="shared" si="4"/>
        <v>Dec</v>
      </c>
      <c r="D134" s="2" t="s">
        <v>9</v>
      </c>
      <c r="E134" s="6">
        <v>3.49</v>
      </c>
      <c r="F134" s="8">
        <v>573.07000000000005</v>
      </c>
      <c r="G134" s="4">
        <f t="shared" si="5"/>
        <v>2000.0143000000003</v>
      </c>
      <c r="H134" s="2" t="s">
        <v>10</v>
      </c>
      <c r="I134" s="2" t="s">
        <v>22</v>
      </c>
      <c r="J134" s="2" t="s">
        <v>38</v>
      </c>
      <c r="K134" s="2" t="s">
        <v>13</v>
      </c>
    </row>
    <row r="135" spans="1:11" x14ac:dyDescent="0.3">
      <c r="A135" s="2">
        <v>10593</v>
      </c>
      <c r="B135" s="3">
        <v>44900</v>
      </c>
      <c r="C135" s="3" t="str">
        <f t="shared" si="4"/>
        <v>Dec</v>
      </c>
      <c r="D135" s="2" t="s">
        <v>14</v>
      </c>
      <c r="E135" s="6">
        <v>2.95</v>
      </c>
      <c r="F135" s="8">
        <v>677.97</v>
      </c>
      <c r="G135" s="4">
        <f t="shared" si="5"/>
        <v>2000.0115000000003</v>
      </c>
      <c r="H135" s="2" t="s">
        <v>10</v>
      </c>
      <c r="I135" s="2" t="s">
        <v>22</v>
      </c>
      <c r="J135" s="2" t="s">
        <v>38</v>
      </c>
      <c r="K135" s="2" t="s">
        <v>13</v>
      </c>
    </row>
    <row r="136" spans="1:11" x14ac:dyDescent="0.3">
      <c r="A136" s="2">
        <v>10594</v>
      </c>
      <c r="B136" s="3">
        <v>44900</v>
      </c>
      <c r="C136" s="3" t="str">
        <f t="shared" si="4"/>
        <v>Dec</v>
      </c>
      <c r="D136" s="2" t="s">
        <v>17</v>
      </c>
      <c r="E136" s="6">
        <v>4.99</v>
      </c>
      <c r="F136" s="8">
        <v>200.4</v>
      </c>
      <c r="G136" s="4">
        <f t="shared" si="5"/>
        <v>999.99600000000009</v>
      </c>
      <c r="H136" s="2" t="s">
        <v>10</v>
      </c>
      <c r="I136" s="2" t="s">
        <v>22</v>
      </c>
      <c r="J136" s="2" t="s">
        <v>38</v>
      </c>
      <c r="K136" s="2" t="s">
        <v>13</v>
      </c>
    </row>
    <row r="137" spans="1:11" x14ac:dyDescent="0.3">
      <c r="A137" s="2">
        <v>10595</v>
      </c>
      <c r="B137" s="3">
        <v>44901</v>
      </c>
      <c r="C137" s="3" t="str">
        <f t="shared" si="4"/>
        <v>Dec</v>
      </c>
      <c r="D137" s="2" t="s">
        <v>21</v>
      </c>
      <c r="E137" s="6">
        <v>12.99</v>
      </c>
      <c r="F137" s="8">
        <v>538.88</v>
      </c>
      <c r="G137" s="4">
        <f t="shared" si="5"/>
        <v>7000.0511999999999</v>
      </c>
      <c r="H137" s="2" t="s">
        <v>10</v>
      </c>
      <c r="I137" s="2" t="s">
        <v>22</v>
      </c>
      <c r="J137" s="2" t="s">
        <v>38</v>
      </c>
      <c r="K137" s="2" t="s">
        <v>13</v>
      </c>
    </row>
    <row r="138" spans="1:11" x14ac:dyDescent="0.3">
      <c r="A138" s="2">
        <v>10596</v>
      </c>
      <c r="B138" s="3">
        <v>44901</v>
      </c>
      <c r="C138" s="3" t="str">
        <f t="shared" si="4"/>
        <v>Dec</v>
      </c>
      <c r="D138" s="2" t="s">
        <v>25</v>
      </c>
      <c r="E138" s="6">
        <v>9.9499999999999993</v>
      </c>
      <c r="F138" s="8">
        <v>201.01</v>
      </c>
      <c r="G138" s="4">
        <f t="shared" si="5"/>
        <v>2000.0494999999999</v>
      </c>
      <c r="H138" s="2" t="s">
        <v>10</v>
      </c>
      <c r="I138" s="2" t="s">
        <v>22</v>
      </c>
      <c r="J138" s="2" t="s">
        <v>38</v>
      </c>
      <c r="K138" s="2" t="s">
        <v>13</v>
      </c>
    </row>
    <row r="139" spans="1:11" x14ac:dyDescent="0.3">
      <c r="A139" s="2">
        <v>10597</v>
      </c>
      <c r="B139" s="3">
        <v>44901</v>
      </c>
      <c r="C139" s="3" t="str">
        <f t="shared" si="4"/>
        <v>Dec</v>
      </c>
      <c r="D139" s="2" t="s">
        <v>9</v>
      </c>
      <c r="E139" s="6">
        <v>3.49</v>
      </c>
      <c r="F139" s="8">
        <v>573.07000000000005</v>
      </c>
      <c r="G139" s="4">
        <f t="shared" si="5"/>
        <v>2000.0143000000003</v>
      </c>
      <c r="H139" s="2" t="s">
        <v>10</v>
      </c>
      <c r="I139" s="2" t="s">
        <v>22</v>
      </c>
      <c r="J139" s="2" t="s">
        <v>38</v>
      </c>
      <c r="K139" s="2" t="s">
        <v>13</v>
      </c>
    </row>
    <row r="140" spans="1:11" x14ac:dyDescent="0.3">
      <c r="A140" s="2">
        <v>10598</v>
      </c>
      <c r="B140" s="3">
        <v>44901</v>
      </c>
      <c r="C140" s="3" t="str">
        <f t="shared" si="4"/>
        <v>Dec</v>
      </c>
      <c r="D140" s="2" t="s">
        <v>14</v>
      </c>
      <c r="E140" s="6">
        <v>2.95</v>
      </c>
      <c r="F140" s="8">
        <v>677.97</v>
      </c>
      <c r="G140" s="4">
        <f t="shared" si="5"/>
        <v>2000.0115000000003</v>
      </c>
      <c r="H140" s="2" t="s">
        <v>10</v>
      </c>
      <c r="I140" s="2" t="s">
        <v>22</v>
      </c>
      <c r="J140" s="2" t="s">
        <v>38</v>
      </c>
      <c r="K140" s="2" t="s">
        <v>13</v>
      </c>
    </row>
    <row r="141" spans="1:11" x14ac:dyDescent="0.3">
      <c r="A141" s="2">
        <v>10599</v>
      </c>
      <c r="B141" s="3">
        <v>44901</v>
      </c>
      <c r="C141" s="3" t="str">
        <f t="shared" si="4"/>
        <v>Dec</v>
      </c>
      <c r="D141" s="2" t="s">
        <v>17</v>
      </c>
      <c r="E141" s="6">
        <v>4.99</v>
      </c>
      <c r="F141" s="8">
        <v>200.4</v>
      </c>
      <c r="G141" s="4">
        <f t="shared" si="5"/>
        <v>999.99600000000009</v>
      </c>
      <c r="H141" s="2" t="s">
        <v>10</v>
      </c>
      <c r="I141" s="2" t="s">
        <v>22</v>
      </c>
      <c r="J141" s="2" t="s">
        <v>38</v>
      </c>
      <c r="K141" s="2" t="s">
        <v>13</v>
      </c>
    </row>
    <row r="142" spans="1:11" x14ac:dyDescent="0.3">
      <c r="A142" s="2">
        <v>10600</v>
      </c>
      <c r="B142" s="3">
        <v>44902</v>
      </c>
      <c r="C142" s="3" t="str">
        <f t="shared" si="4"/>
        <v>Dec</v>
      </c>
      <c r="D142" s="2" t="s">
        <v>21</v>
      </c>
      <c r="E142" s="6">
        <v>12.99</v>
      </c>
      <c r="F142" s="8">
        <v>523.48</v>
      </c>
      <c r="G142" s="4">
        <f t="shared" si="5"/>
        <v>6800.0052000000005</v>
      </c>
      <c r="H142" s="2" t="s">
        <v>10</v>
      </c>
      <c r="I142" s="2" t="s">
        <v>22</v>
      </c>
      <c r="J142" s="2" t="s">
        <v>38</v>
      </c>
      <c r="K142" s="2" t="s">
        <v>13</v>
      </c>
    </row>
    <row r="143" spans="1:11" x14ac:dyDescent="0.3">
      <c r="A143" s="2">
        <v>10601</v>
      </c>
      <c r="B143" s="3">
        <v>44902</v>
      </c>
      <c r="C143" s="3" t="str">
        <f t="shared" si="4"/>
        <v>Dec</v>
      </c>
      <c r="D143" s="2" t="s">
        <v>25</v>
      </c>
      <c r="E143" s="6">
        <v>9.9499999999999993</v>
      </c>
      <c r="F143" s="8">
        <v>201.01</v>
      </c>
      <c r="G143" s="4">
        <f t="shared" si="5"/>
        <v>2000.0494999999999</v>
      </c>
      <c r="H143" s="2" t="s">
        <v>10</v>
      </c>
      <c r="I143" s="2" t="s">
        <v>22</v>
      </c>
      <c r="J143" s="2" t="s">
        <v>38</v>
      </c>
      <c r="K143" s="2" t="s">
        <v>13</v>
      </c>
    </row>
    <row r="144" spans="1:11" x14ac:dyDescent="0.3">
      <c r="A144" s="2">
        <v>10602</v>
      </c>
      <c r="B144" s="3">
        <v>44902</v>
      </c>
      <c r="C144" s="3" t="str">
        <f t="shared" si="4"/>
        <v>Dec</v>
      </c>
      <c r="D144" s="2" t="s">
        <v>9</v>
      </c>
      <c r="E144" s="6">
        <v>3.49</v>
      </c>
      <c r="F144" s="8">
        <v>630.37</v>
      </c>
      <c r="G144" s="4">
        <f t="shared" si="5"/>
        <v>2199.9913000000001</v>
      </c>
      <c r="H144" s="2" t="s">
        <v>10</v>
      </c>
      <c r="I144" s="2" t="s">
        <v>37</v>
      </c>
      <c r="J144" s="2" t="s">
        <v>38</v>
      </c>
      <c r="K144" s="2" t="s">
        <v>13</v>
      </c>
    </row>
    <row r="145" spans="1:11" x14ac:dyDescent="0.3">
      <c r="A145" s="2">
        <v>10603</v>
      </c>
      <c r="B145" s="3">
        <v>44902</v>
      </c>
      <c r="C145" s="3" t="str">
        <f t="shared" si="4"/>
        <v>Dec</v>
      </c>
      <c r="D145" s="2" t="s">
        <v>14</v>
      </c>
      <c r="E145" s="6">
        <v>2.95</v>
      </c>
      <c r="F145" s="8">
        <v>677.97</v>
      </c>
      <c r="G145" s="4">
        <f t="shared" si="5"/>
        <v>2000.0115000000003</v>
      </c>
      <c r="H145" s="2" t="s">
        <v>10</v>
      </c>
      <c r="I145" s="2" t="s">
        <v>37</v>
      </c>
      <c r="J145" s="2" t="s">
        <v>38</v>
      </c>
      <c r="K145" s="2" t="s">
        <v>13</v>
      </c>
    </row>
    <row r="146" spans="1:11" x14ac:dyDescent="0.3">
      <c r="A146" s="2">
        <v>10604</v>
      </c>
      <c r="B146" s="3">
        <v>44902</v>
      </c>
      <c r="C146" s="3" t="str">
        <f t="shared" si="4"/>
        <v>Dec</v>
      </c>
      <c r="D146" s="2" t="s">
        <v>17</v>
      </c>
      <c r="E146" s="6">
        <v>4.99</v>
      </c>
      <c r="F146" s="8">
        <v>200.4</v>
      </c>
      <c r="G146" s="4">
        <f t="shared" si="5"/>
        <v>999.99600000000009</v>
      </c>
      <c r="H146" s="2" t="s">
        <v>10</v>
      </c>
      <c r="I146" s="2" t="s">
        <v>37</v>
      </c>
      <c r="J146" s="2" t="s">
        <v>38</v>
      </c>
      <c r="K146" s="2" t="s">
        <v>13</v>
      </c>
    </row>
    <row r="147" spans="1:11" x14ac:dyDescent="0.3">
      <c r="A147" s="2">
        <v>10605</v>
      </c>
      <c r="B147" s="3">
        <v>44903</v>
      </c>
      <c r="C147" s="3" t="str">
        <f t="shared" si="4"/>
        <v>Dec</v>
      </c>
      <c r="D147" s="2" t="s">
        <v>21</v>
      </c>
      <c r="E147" s="6">
        <v>12.99</v>
      </c>
      <c r="F147" s="8">
        <v>538.88</v>
      </c>
      <c r="G147" s="4">
        <f t="shared" si="5"/>
        <v>7000.0511999999999</v>
      </c>
      <c r="H147" s="2" t="s">
        <v>10</v>
      </c>
      <c r="I147" s="2" t="s">
        <v>37</v>
      </c>
      <c r="J147" s="2" t="s">
        <v>38</v>
      </c>
      <c r="K147" s="2" t="s">
        <v>13</v>
      </c>
    </row>
    <row r="148" spans="1:11" x14ac:dyDescent="0.3">
      <c r="A148" s="2">
        <v>10606</v>
      </c>
      <c r="B148" s="3">
        <v>44903</v>
      </c>
      <c r="C148" s="3" t="str">
        <f t="shared" si="4"/>
        <v>Dec</v>
      </c>
      <c r="D148" s="2" t="s">
        <v>25</v>
      </c>
      <c r="E148" s="6">
        <v>9.9499999999999993</v>
      </c>
      <c r="F148" s="8">
        <v>201.01</v>
      </c>
      <c r="G148" s="4">
        <f t="shared" si="5"/>
        <v>2000.0494999999999</v>
      </c>
      <c r="H148" s="2" t="s">
        <v>10</v>
      </c>
      <c r="I148" s="2" t="s">
        <v>37</v>
      </c>
      <c r="J148" s="2" t="s">
        <v>38</v>
      </c>
      <c r="K148" s="2" t="s">
        <v>13</v>
      </c>
    </row>
    <row r="149" spans="1:11" x14ac:dyDescent="0.3">
      <c r="A149" s="2">
        <v>10607</v>
      </c>
      <c r="B149" s="3">
        <v>44903</v>
      </c>
      <c r="C149" s="3" t="str">
        <f t="shared" si="4"/>
        <v>Dec</v>
      </c>
      <c r="D149" s="2" t="s">
        <v>9</v>
      </c>
      <c r="E149" s="6">
        <v>3.49</v>
      </c>
      <c r="F149" s="8">
        <v>630.37</v>
      </c>
      <c r="G149" s="4">
        <f t="shared" si="5"/>
        <v>2199.9913000000001</v>
      </c>
      <c r="H149" s="2" t="s">
        <v>10</v>
      </c>
      <c r="I149" s="2" t="s">
        <v>37</v>
      </c>
      <c r="J149" s="2" t="s">
        <v>38</v>
      </c>
      <c r="K149" s="2" t="s">
        <v>13</v>
      </c>
    </row>
    <row r="150" spans="1:11" x14ac:dyDescent="0.3">
      <c r="A150" s="2">
        <v>10608</v>
      </c>
      <c r="B150" s="3">
        <v>44903</v>
      </c>
      <c r="C150" s="3" t="str">
        <f t="shared" si="4"/>
        <v>Dec</v>
      </c>
      <c r="D150" s="2" t="s">
        <v>14</v>
      </c>
      <c r="E150" s="6">
        <v>2.95</v>
      </c>
      <c r="F150" s="8">
        <v>677.97</v>
      </c>
      <c r="G150" s="4">
        <f t="shared" si="5"/>
        <v>2000.0115000000003</v>
      </c>
      <c r="H150" s="2" t="s">
        <v>10</v>
      </c>
      <c r="I150" s="2" t="s">
        <v>11</v>
      </c>
      <c r="J150" s="2" t="s">
        <v>38</v>
      </c>
      <c r="K150" s="2" t="s">
        <v>13</v>
      </c>
    </row>
    <row r="151" spans="1:11" x14ac:dyDescent="0.3">
      <c r="A151" s="2">
        <v>10609</v>
      </c>
      <c r="B151" s="3">
        <v>44903</v>
      </c>
      <c r="C151" s="3" t="str">
        <f t="shared" si="4"/>
        <v>Dec</v>
      </c>
      <c r="D151" s="2" t="s">
        <v>17</v>
      </c>
      <c r="E151" s="6">
        <v>4.99</v>
      </c>
      <c r="F151" s="8">
        <v>200.4</v>
      </c>
      <c r="G151" s="4">
        <f t="shared" si="5"/>
        <v>999.99600000000009</v>
      </c>
      <c r="H151" s="2" t="s">
        <v>10</v>
      </c>
      <c r="I151" s="2" t="s">
        <v>11</v>
      </c>
      <c r="J151" s="2" t="s">
        <v>38</v>
      </c>
      <c r="K151" s="2" t="s">
        <v>13</v>
      </c>
    </row>
    <row r="152" spans="1:11" x14ac:dyDescent="0.3">
      <c r="A152" s="2">
        <v>10610</v>
      </c>
      <c r="B152" s="3">
        <v>44904</v>
      </c>
      <c r="C152" s="3" t="str">
        <f t="shared" si="4"/>
        <v>Dec</v>
      </c>
      <c r="D152" s="2" t="s">
        <v>21</v>
      </c>
      <c r="E152" s="6">
        <v>12.99</v>
      </c>
      <c r="F152" s="8">
        <v>569.66999999999996</v>
      </c>
      <c r="G152" s="4">
        <f t="shared" si="5"/>
        <v>7400.0132999999996</v>
      </c>
      <c r="H152" s="2" t="s">
        <v>10</v>
      </c>
      <c r="I152" s="2" t="s">
        <v>11</v>
      </c>
      <c r="J152" s="2" t="s">
        <v>38</v>
      </c>
      <c r="K152" s="2" t="s">
        <v>13</v>
      </c>
    </row>
    <row r="153" spans="1:11" x14ac:dyDescent="0.3">
      <c r="A153" s="2">
        <v>10611</v>
      </c>
      <c r="B153" s="3">
        <v>44904</v>
      </c>
      <c r="C153" s="3" t="str">
        <f t="shared" si="4"/>
        <v>Dec</v>
      </c>
      <c r="D153" s="2" t="s">
        <v>25</v>
      </c>
      <c r="E153" s="6">
        <v>9.9499999999999993</v>
      </c>
      <c r="F153" s="8">
        <v>201.01</v>
      </c>
      <c r="G153" s="4">
        <f t="shared" si="5"/>
        <v>2000.0494999999999</v>
      </c>
      <c r="H153" s="2" t="s">
        <v>10</v>
      </c>
      <c r="I153" s="2" t="s">
        <v>11</v>
      </c>
      <c r="J153" s="2" t="s">
        <v>38</v>
      </c>
      <c r="K153" s="2" t="s">
        <v>13</v>
      </c>
    </row>
    <row r="154" spans="1:11" x14ac:dyDescent="0.3">
      <c r="A154" s="2">
        <v>10612</v>
      </c>
      <c r="B154" s="3">
        <v>44904</v>
      </c>
      <c r="C154" s="3" t="str">
        <f t="shared" si="4"/>
        <v>Dec</v>
      </c>
      <c r="D154" s="2" t="s">
        <v>9</v>
      </c>
      <c r="E154" s="6">
        <v>3.49</v>
      </c>
      <c r="F154" s="8">
        <v>630.37</v>
      </c>
      <c r="G154" s="4">
        <f t="shared" si="5"/>
        <v>2199.9913000000001</v>
      </c>
      <c r="H154" s="2" t="s">
        <v>10</v>
      </c>
      <c r="I154" s="2" t="s">
        <v>11</v>
      </c>
      <c r="J154" s="2" t="s">
        <v>38</v>
      </c>
      <c r="K154" s="2" t="s">
        <v>13</v>
      </c>
    </row>
    <row r="155" spans="1:11" x14ac:dyDescent="0.3">
      <c r="A155" s="2">
        <v>10613</v>
      </c>
      <c r="B155" s="3">
        <v>44904</v>
      </c>
      <c r="C155" s="3" t="str">
        <f t="shared" si="4"/>
        <v>Dec</v>
      </c>
      <c r="D155" s="2" t="s">
        <v>14</v>
      </c>
      <c r="E155" s="6">
        <v>2.95</v>
      </c>
      <c r="F155" s="8">
        <v>677.97</v>
      </c>
      <c r="G155" s="4">
        <f t="shared" si="5"/>
        <v>2000.0115000000003</v>
      </c>
      <c r="H155" s="2" t="s">
        <v>10</v>
      </c>
      <c r="I155" s="2" t="s">
        <v>11</v>
      </c>
      <c r="J155" s="2" t="s">
        <v>38</v>
      </c>
      <c r="K155" s="2" t="s">
        <v>13</v>
      </c>
    </row>
    <row r="156" spans="1:11" x14ac:dyDescent="0.3">
      <c r="A156" s="2">
        <v>10614</v>
      </c>
      <c r="B156" s="3">
        <v>44904</v>
      </c>
      <c r="C156" s="3" t="str">
        <f t="shared" si="4"/>
        <v>Dec</v>
      </c>
      <c r="D156" s="2" t="s">
        <v>17</v>
      </c>
      <c r="E156" s="6">
        <v>4.99</v>
      </c>
      <c r="F156" s="8">
        <v>200.4</v>
      </c>
      <c r="G156" s="4">
        <f t="shared" si="5"/>
        <v>999.99600000000009</v>
      </c>
      <c r="H156" s="2" t="s">
        <v>10</v>
      </c>
      <c r="I156" s="2" t="s">
        <v>11</v>
      </c>
      <c r="J156" s="2" t="s">
        <v>38</v>
      </c>
      <c r="K156" s="2" t="s">
        <v>13</v>
      </c>
    </row>
    <row r="157" spans="1:11" x14ac:dyDescent="0.3">
      <c r="A157" s="2">
        <v>10615</v>
      </c>
      <c r="B157" s="3">
        <v>44905</v>
      </c>
      <c r="C157" s="3" t="str">
        <f t="shared" si="4"/>
        <v>Dec</v>
      </c>
      <c r="D157" s="2" t="s">
        <v>21</v>
      </c>
      <c r="E157" s="6">
        <v>12.99</v>
      </c>
      <c r="F157" s="8">
        <v>569.66999999999996</v>
      </c>
      <c r="G157" s="4">
        <f t="shared" si="5"/>
        <v>7400.0132999999996</v>
      </c>
      <c r="H157" s="2" t="s">
        <v>10</v>
      </c>
      <c r="I157" s="2" t="s">
        <v>11</v>
      </c>
      <c r="J157" s="2" t="s">
        <v>38</v>
      </c>
      <c r="K157" s="2" t="s">
        <v>13</v>
      </c>
    </row>
    <row r="158" spans="1:11" x14ac:dyDescent="0.3">
      <c r="A158" s="2">
        <v>10616</v>
      </c>
      <c r="B158" s="3">
        <v>44905</v>
      </c>
      <c r="C158" s="3" t="str">
        <f t="shared" si="4"/>
        <v>Dec</v>
      </c>
      <c r="D158" s="2" t="s">
        <v>25</v>
      </c>
      <c r="E158" s="6">
        <v>9.9499999999999993</v>
      </c>
      <c r="F158" s="8">
        <v>201.01</v>
      </c>
      <c r="G158" s="4">
        <f t="shared" si="5"/>
        <v>2000.0494999999999</v>
      </c>
      <c r="H158" s="2" t="s">
        <v>10</v>
      </c>
      <c r="I158" s="2" t="s">
        <v>11</v>
      </c>
      <c r="J158" s="2" t="s">
        <v>38</v>
      </c>
      <c r="K158" s="2" t="s">
        <v>13</v>
      </c>
    </row>
    <row r="159" spans="1:11" x14ac:dyDescent="0.3">
      <c r="A159" s="2">
        <v>10617</v>
      </c>
      <c r="B159" s="3">
        <v>44905</v>
      </c>
      <c r="C159" s="3" t="str">
        <f t="shared" si="4"/>
        <v>Dec</v>
      </c>
      <c r="D159" s="2" t="s">
        <v>9</v>
      </c>
      <c r="E159" s="6">
        <v>3.49</v>
      </c>
      <c r="F159" s="8">
        <v>630.37</v>
      </c>
      <c r="G159" s="4">
        <f t="shared" si="5"/>
        <v>2199.9913000000001</v>
      </c>
      <c r="H159" s="2" t="s">
        <v>10</v>
      </c>
      <c r="I159" s="2" t="s">
        <v>11</v>
      </c>
      <c r="J159" s="2" t="s">
        <v>38</v>
      </c>
      <c r="K159" s="2" t="s">
        <v>13</v>
      </c>
    </row>
    <row r="160" spans="1:11" x14ac:dyDescent="0.3">
      <c r="A160" s="2">
        <v>10618</v>
      </c>
      <c r="B160" s="3">
        <v>44905</v>
      </c>
      <c r="C160" s="3" t="str">
        <f t="shared" si="4"/>
        <v>Dec</v>
      </c>
      <c r="D160" s="2" t="s">
        <v>14</v>
      </c>
      <c r="E160" s="6">
        <v>2.95</v>
      </c>
      <c r="F160" s="8">
        <v>677.97</v>
      </c>
      <c r="G160" s="4">
        <f t="shared" si="5"/>
        <v>2000.0115000000003</v>
      </c>
      <c r="H160" s="2" t="s">
        <v>10</v>
      </c>
      <c r="I160" s="2" t="s">
        <v>11</v>
      </c>
      <c r="J160" s="2" t="s">
        <v>38</v>
      </c>
      <c r="K160" s="2" t="s">
        <v>13</v>
      </c>
    </row>
    <row r="161" spans="1:11" x14ac:dyDescent="0.3">
      <c r="A161" s="2">
        <v>10619</v>
      </c>
      <c r="B161" s="3">
        <v>44905</v>
      </c>
      <c r="C161" s="3" t="str">
        <f t="shared" si="4"/>
        <v>Dec</v>
      </c>
      <c r="D161" s="2" t="s">
        <v>17</v>
      </c>
      <c r="E161" s="6">
        <v>4.99</v>
      </c>
      <c r="F161" s="8">
        <v>200.4</v>
      </c>
      <c r="G161" s="4">
        <f t="shared" si="5"/>
        <v>999.99600000000009</v>
      </c>
      <c r="H161" s="2" t="s">
        <v>10</v>
      </c>
      <c r="I161" s="2" t="s">
        <v>11</v>
      </c>
      <c r="J161" s="2" t="s">
        <v>38</v>
      </c>
      <c r="K161" s="2" t="s">
        <v>13</v>
      </c>
    </row>
    <row r="162" spans="1:11" x14ac:dyDescent="0.3">
      <c r="A162" s="2">
        <v>10620</v>
      </c>
      <c r="B162" s="3">
        <v>44906</v>
      </c>
      <c r="C162" s="3" t="str">
        <f t="shared" si="4"/>
        <v>Dec</v>
      </c>
      <c r="D162" s="2" t="s">
        <v>21</v>
      </c>
      <c r="E162" s="6">
        <v>12.99</v>
      </c>
      <c r="F162" s="8">
        <v>585.07000000000005</v>
      </c>
      <c r="G162" s="4">
        <f t="shared" si="5"/>
        <v>7600.0593000000008</v>
      </c>
      <c r="H162" s="2" t="s">
        <v>10</v>
      </c>
      <c r="I162" s="2" t="s">
        <v>11</v>
      </c>
      <c r="J162" s="2" t="s">
        <v>38</v>
      </c>
      <c r="K162" s="2" t="s">
        <v>13</v>
      </c>
    </row>
    <row r="163" spans="1:11" x14ac:dyDescent="0.3">
      <c r="A163" s="2">
        <v>10621</v>
      </c>
      <c r="B163" s="3">
        <v>44906</v>
      </c>
      <c r="C163" s="3" t="str">
        <f t="shared" si="4"/>
        <v>Dec</v>
      </c>
      <c r="D163" s="2" t="s">
        <v>25</v>
      </c>
      <c r="E163" s="6">
        <v>9.9499999999999993</v>
      </c>
      <c r="F163" s="8">
        <v>201.01</v>
      </c>
      <c r="G163" s="4">
        <f t="shared" si="5"/>
        <v>2000.0494999999999</v>
      </c>
      <c r="H163" s="2" t="s">
        <v>10</v>
      </c>
      <c r="I163" s="2" t="s">
        <v>11</v>
      </c>
      <c r="J163" s="2" t="s">
        <v>38</v>
      </c>
      <c r="K163" s="2" t="s">
        <v>13</v>
      </c>
    </row>
    <row r="164" spans="1:11" x14ac:dyDescent="0.3">
      <c r="A164" s="2">
        <v>10622</v>
      </c>
      <c r="B164" s="3">
        <v>44906</v>
      </c>
      <c r="C164" s="3" t="str">
        <f t="shared" si="4"/>
        <v>Dec</v>
      </c>
      <c r="D164" s="2" t="s">
        <v>9</v>
      </c>
      <c r="E164" s="6">
        <v>3.49</v>
      </c>
      <c r="F164" s="8">
        <v>630.37</v>
      </c>
      <c r="G164" s="4">
        <f t="shared" si="5"/>
        <v>2199.9913000000001</v>
      </c>
      <c r="H164" s="2" t="s">
        <v>10</v>
      </c>
      <c r="I164" s="2" t="s">
        <v>11</v>
      </c>
      <c r="J164" s="2" t="s">
        <v>38</v>
      </c>
      <c r="K164" s="2" t="s">
        <v>13</v>
      </c>
    </row>
    <row r="165" spans="1:11" x14ac:dyDescent="0.3">
      <c r="A165" s="2">
        <v>10623</v>
      </c>
      <c r="B165" s="3">
        <v>44906</v>
      </c>
      <c r="C165" s="3" t="str">
        <f t="shared" si="4"/>
        <v>Dec</v>
      </c>
      <c r="D165" s="2" t="s">
        <v>14</v>
      </c>
      <c r="E165" s="6">
        <v>2.95</v>
      </c>
      <c r="F165" s="8">
        <v>745.76</v>
      </c>
      <c r="G165" s="4">
        <f t="shared" si="5"/>
        <v>2199.9920000000002</v>
      </c>
      <c r="H165" s="2" t="s">
        <v>10</v>
      </c>
      <c r="I165" s="2" t="s">
        <v>11</v>
      </c>
      <c r="J165" s="2" t="s">
        <v>38</v>
      </c>
      <c r="K165" s="2" t="s">
        <v>13</v>
      </c>
    </row>
    <row r="166" spans="1:11" x14ac:dyDescent="0.3">
      <c r="A166" s="2">
        <v>10624</v>
      </c>
      <c r="B166" s="3">
        <v>44906</v>
      </c>
      <c r="C166" s="3" t="str">
        <f t="shared" si="4"/>
        <v>Dec</v>
      </c>
      <c r="D166" s="2" t="s">
        <v>17</v>
      </c>
      <c r="E166" s="6">
        <v>4.99</v>
      </c>
      <c r="F166" s="8">
        <v>200.4</v>
      </c>
      <c r="G166" s="4">
        <f t="shared" si="5"/>
        <v>999.99600000000009</v>
      </c>
      <c r="H166" s="2" t="s">
        <v>10</v>
      </c>
      <c r="I166" s="2" t="s">
        <v>11</v>
      </c>
      <c r="J166" s="2" t="s">
        <v>38</v>
      </c>
      <c r="K166" s="2" t="s">
        <v>13</v>
      </c>
    </row>
    <row r="167" spans="1:11" x14ac:dyDescent="0.3">
      <c r="A167" s="2">
        <v>10625</v>
      </c>
      <c r="B167" s="3">
        <v>44907</v>
      </c>
      <c r="C167" s="3" t="str">
        <f t="shared" si="4"/>
        <v>Dec</v>
      </c>
      <c r="D167" s="2" t="s">
        <v>21</v>
      </c>
      <c r="E167" s="6">
        <v>12.99</v>
      </c>
      <c r="F167" s="8">
        <v>569.66999999999996</v>
      </c>
      <c r="G167" s="4">
        <f t="shared" si="5"/>
        <v>7400.0132999999996</v>
      </c>
      <c r="H167" s="2" t="s">
        <v>10</v>
      </c>
      <c r="I167" s="2" t="s">
        <v>11</v>
      </c>
      <c r="J167" s="2" t="s">
        <v>38</v>
      </c>
      <c r="K167" s="2" t="s">
        <v>13</v>
      </c>
    </row>
    <row r="168" spans="1:11" x14ac:dyDescent="0.3">
      <c r="A168" s="2">
        <v>10626</v>
      </c>
      <c r="B168" s="3">
        <v>44907</v>
      </c>
      <c r="C168" s="3" t="str">
        <f t="shared" si="4"/>
        <v>Dec</v>
      </c>
      <c r="D168" s="2" t="s">
        <v>25</v>
      </c>
      <c r="E168" s="6">
        <v>9.9499999999999993</v>
      </c>
      <c r="F168" s="8">
        <v>201.01</v>
      </c>
      <c r="G168" s="4">
        <f t="shared" si="5"/>
        <v>2000.0494999999999</v>
      </c>
      <c r="H168" s="2" t="s">
        <v>10</v>
      </c>
      <c r="I168" s="2" t="s">
        <v>11</v>
      </c>
      <c r="J168" s="2" t="s">
        <v>38</v>
      </c>
      <c r="K168" s="2" t="s">
        <v>13</v>
      </c>
    </row>
    <row r="169" spans="1:11" x14ac:dyDescent="0.3">
      <c r="A169" s="2">
        <v>10627</v>
      </c>
      <c r="B169" s="3">
        <v>44907</v>
      </c>
      <c r="C169" s="3" t="str">
        <f t="shared" si="4"/>
        <v>Dec</v>
      </c>
      <c r="D169" s="2" t="s">
        <v>9</v>
      </c>
      <c r="E169" s="6">
        <v>3.49</v>
      </c>
      <c r="F169" s="8">
        <v>630.37</v>
      </c>
      <c r="G169" s="4">
        <f t="shared" si="5"/>
        <v>2199.9913000000001</v>
      </c>
      <c r="H169" s="2" t="s">
        <v>10</v>
      </c>
      <c r="I169" s="2" t="s">
        <v>11</v>
      </c>
      <c r="J169" s="2" t="s">
        <v>38</v>
      </c>
      <c r="K169" s="2" t="s">
        <v>13</v>
      </c>
    </row>
    <row r="170" spans="1:11" x14ac:dyDescent="0.3">
      <c r="A170" s="2">
        <v>10628</v>
      </c>
      <c r="B170" s="3">
        <v>44907</v>
      </c>
      <c r="C170" s="3" t="str">
        <f t="shared" si="4"/>
        <v>Dec</v>
      </c>
      <c r="D170" s="2" t="s">
        <v>14</v>
      </c>
      <c r="E170" s="6">
        <v>2.95</v>
      </c>
      <c r="F170" s="8">
        <v>677.97</v>
      </c>
      <c r="G170" s="4">
        <f t="shared" si="5"/>
        <v>2000.0115000000003</v>
      </c>
      <c r="H170" s="2" t="s">
        <v>10</v>
      </c>
      <c r="I170" s="2" t="s">
        <v>11</v>
      </c>
      <c r="J170" s="2" t="s">
        <v>35</v>
      </c>
      <c r="K170" s="2" t="s">
        <v>20</v>
      </c>
    </row>
    <row r="171" spans="1:11" x14ac:dyDescent="0.3">
      <c r="A171" s="2">
        <v>10629</v>
      </c>
      <c r="B171" s="3">
        <v>44907</v>
      </c>
      <c r="C171" s="3" t="str">
        <f t="shared" si="4"/>
        <v>Dec</v>
      </c>
      <c r="D171" s="2" t="s">
        <v>17</v>
      </c>
      <c r="E171" s="6">
        <v>4.99</v>
      </c>
      <c r="F171" s="8">
        <v>200.4</v>
      </c>
      <c r="G171" s="4">
        <f t="shared" si="5"/>
        <v>999.99600000000009</v>
      </c>
      <c r="H171" s="2" t="s">
        <v>10</v>
      </c>
      <c r="I171" s="2" t="s">
        <v>11</v>
      </c>
      <c r="J171" s="2" t="s">
        <v>35</v>
      </c>
      <c r="K171" s="2" t="s">
        <v>20</v>
      </c>
    </row>
    <row r="172" spans="1:11" x14ac:dyDescent="0.3">
      <c r="A172" s="2">
        <v>10630</v>
      </c>
      <c r="B172" s="3">
        <v>44908</v>
      </c>
      <c r="C172" s="3" t="str">
        <f t="shared" si="4"/>
        <v>Dec</v>
      </c>
      <c r="D172" s="2" t="s">
        <v>21</v>
      </c>
      <c r="E172" s="6">
        <v>12.99</v>
      </c>
      <c r="F172" s="8">
        <v>569.66999999999996</v>
      </c>
      <c r="G172" s="4">
        <f t="shared" si="5"/>
        <v>7400.0132999999996</v>
      </c>
      <c r="H172" s="2" t="s">
        <v>10</v>
      </c>
      <c r="I172" s="2" t="s">
        <v>37</v>
      </c>
      <c r="J172" s="2" t="s">
        <v>35</v>
      </c>
      <c r="K172" s="2" t="s">
        <v>20</v>
      </c>
    </row>
    <row r="173" spans="1:11" x14ac:dyDescent="0.3">
      <c r="A173" s="2">
        <v>10631</v>
      </c>
      <c r="B173" s="3">
        <v>44908</v>
      </c>
      <c r="C173" s="3" t="str">
        <f t="shared" si="4"/>
        <v>Dec</v>
      </c>
      <c r="D173" s="2" t="s">
        <v>25</v>
      </c>
      <c r="E173" s="6">
        <v>9.9499999999999993</v>
      </c>
      <c r="F173" s="8">
        <v>201.01</v>
      </c>
      <c r="G173" s="4">
        <f t="shared" si="5"/>
        <v>2000.0494999999999</v>
      </c>
      <c r="H173" s="2" t="s">
        <v>10</v>
      </c>
      <c r="I173" s="2" t="s">
        <v>11</v>
      </c>
      <c r="J173" s="2" t="s">
        <v>35</v>
      </c>
      <c r="K173" s="2" t="s">
        <v>20</v>
      </c>
    </row>
    <row r="174" spans="1:11" x14ac:dyDescent="0.3">
      <c r="A174" s="2">
        <v>10632</v>
      </c>
      <c r="B174" s="3">
        <v>44908</v>
      </c>
      <c r="C174" s="3" t="str">
        <f t="shared" si="4"/>
        <v>Dec</v>
      </c>
      <c r="D174" s="2" t="s">
        <v>9</v>
      </c>
      <c r="E174" s="6">
        <v>3.49</v>
      </c>
      <c r="F174" s="8">
        <v>630.37</v>
      </c>
      <c r="G174" s="4">
        <f t="shared" si="5"/>
        <v>2199.9913000000001</v>
      </c>
      <c r="H174" s="2" t="s">
        <v>10</v>
      </c>
      <c r="I174" s="2" t="s">
        <v>11</v>
      </c>
      <c r="J174" s="2" t="s">
        <v>35</v>
      </c>
      <c r="K174" s="2" t="s">
        <v>20</v>
      </c>
    </row>
    <row r="175" spans="1:11" x14ac:dyDescent="0.3">
      <c r="A175" s="2">
        <v>10633</v>
      </c>
      <c r="B175" s="3">
        <v>44908</v>
      </c>
      <c r="C175" s="3" t="str">
        <f t="shared" si="4"/>
        <v>Dec</v>
      </c>
      <c r="D175" s="2" t="s">
        <v>14</v>
      </c>
      <c r="E175" s="6">
        <v>2.95</v>
      </c>
      <c r="F175" s="8">
        <v>677.97</v>
      </c>
      <c r="G175" s="4">
        <f t="shared" si="5"/>
        <v>2000.0115000000003</v>
      </c>
      <c r="H175" s="2" t="s">
        <v>10</v>
      </c>
      <c r="I175" s="2" t="s">
        <v>11</v>
      </c>
      <c r="J175" s="2" t="s">
        <v>35</v>
      </c>
      <c r="K175" s="2" t="s">
        <v>20</v>
      </c>
    </row>
    <row r="176" spans="1:11" x14ac:dyDescent="0.3">
      <c r="A176" s="2">
        <v>10634</v>
      </c>
      <c r="B176" s="3">
        <v>44908</v>
      </c>
      <c r="C176" s="3" t="str">
        <f t="shared" si="4"/>
        <v>Dec</v>
      </c>
      <c r="D176" s="2" t="s">
        <v>17</v>
      </c>
      <c r="E176" s="6">
        <v>4.99</v>
      </c>
      <c r="F176" s="8">
        <v>200.4</v>
      </c>
      <c r="G176" s="4">
        <f t="shared" si="5"/>
        <v>999.99600000000009</v>
      </c>
      <c r="H176" s="2" t="s">
        <v>10</v>
      </c>
      <c r="I176" s="2" t="s">
        <v>11</v>
      </c>
      <c r="J176" s="2" t="s">
        <v>35</v>
      </c>
      <c r="K176" s="2" t="s">
        <v>20</v>
      </c>
    </row>
    <row r="177" spans="1:11" x14ac:dyDescent="0.3">
      <c r="A177" s="2">
        <v>10635</v>
      </c>
      <c r="B177" s="3">
        <v>44909</v>
      </c>
      <c r="C177" s="3" t="str">
        <f t="shared" si="4"/>
        <v>Dec</v>
      </c>
      <c r="D177" s="2" t="s">
        <v>21</v>
      </c>
      <c r="E177" s="6">
        <v>12.99</v>
      </c>
      <c r="F177" s="8">
        <v>554.27</v>
      </c>
      <c r="G177" s="4">
        <f t="shared" si="5"/>
        <v>7199.9673000000003</v>
      </c>
      <c r="H177" s="2" t="s">
        <v>10</v>
      </c>
      <c r="I177" s="2" t="s">
        <v>11</v>
      </c>
      <c r="J177" s="2" t="s">
        <v>35</v>
      </c>
      <c r="K177" s="2" t="s">
        <v>20</v>
      </c>
    </row>
    <row r="178" spans="1:11" x14ac:dyDescent="0.3">
      <c r="A178" s="2">
        <v>10636</v>
      </c>
      <c r="B178" s="3">
        <v>44909</v>
      </c>
      <c r="C178" s="3" t="str">
        <f t="shared" si="4"/>
        <v>Dec</v>
      </c>
      <c r="D178" s="2" t="s">
        <v>25</v>
      </c>
      <c r="E178" s="6">
        <v>9.9499999999999993</v>
      </c>
      <c r="F178" s="8">
        <v>221.11</v>
      </c>
      <c r="G178" s="4">
        <f t="shared" si="5"/>
        <v>2200.0445</v>
      </c>
      <c r="H178" s="2" t="s">
        <v>10</v>
      </c>
      <c r="I178" s="2" t="s">
        <v>11</v>
      </c>
      <c r="J178" s="2" t="s">
        <v>35</v>
      </c>
      <c r="K178" s="2" t="s">
        <v>20</v>
      </c>
    </row>
    <row r="179" spans="1:11" x14ac:dyDescent="0.3">
      <c r="A179" s="2">
        <v>10637</v>
      </c>
      <c r="B179" s="3">
        <v>44909</v>
      </c>
      <c r="C179" s="3" t="str">
        <f t="shared" si="4"/>
        <v>Dec</v>
      </c>
      <c r="D179" s="2" t="s">
        <v>9</v>
      </c>
      <c r="E179" s="6">
        <v>3.49</v>
      </c>
      <c r="F179" s="8">
        <v>630.37</v>
      </c>
      <c r="G179" s="4">
        <f t="shared" si="5"/>
        <v>2199.9913000000001</v>
      </c>
      <c r="H179" s="2" t="s">
        <v>10</v>
      </c>
      <c r="I179" s="2" t="s">
        <v>11</v>
      </c>
      <c r="J179" s="2" t="s">
        <v>35</v>
      </c>
      <c r="K179" s="2" t="s">
        <v>20</v>
      </c>
    </row>
    <row r="180" spans="1:11" x14ac:dyDescent="0.3">
      <c r="A180" s="2">
        <v>10638</v>
      </c>
      <c r="B180" s="3">
        <v>44909</v>
      </c>
      <c r="C180" s="3" t="str">
        <f t="shared" si="4"/>
        <v>Dec</v>
      </c>
      <c r="D180" s="2" t="s">
        <v>14</v>
      </c>
      <c r="E180" s="6">
        <v>2.95</v>
      </c>
      <c r="F180" s="8">
        <v>677.97</v>
      </c>
      <c r="G180" s="4">
        <f t="shared" si="5"/>
        <v>2000.0115000000003</v>
      </c>
      <c r="H180" s="2" t="s">
        <v>10</v>
      </c>
      <c r="I180" s="2" t="s">
        <v>11</v>
      </c>
      <c r="J180" s="2" t="s">
        <v>35</v>
      </c>
      <c r="K180" s="2" t="s">
        <v>20</v>
      </c>
    </row>
    <row r="181" spans="1:11" x14ac:dyDescent="0.3">
      <c r="A181" s="2">
        <v>10639</v>
      </c>
      <c r="B181" s="3">
        <v>44909</v>
      </c>
      <c r="C181" s="3" t="str">
        <f t="shared" si="4"/>
        <v>Dec</v>
      </c>
      <c r="D181" s="2" t="s">
        <v>17</v>
      </c>
      <c r="E181" s="6">
        <v>4.99</v>
      </c>
      <c r="F181" s="8">
        <v>200.4</v>
      </c>
      <c r="G181" s="4">
        <f t="shared" si="5"/>
        <v>999.99600000000009</v>
      </c>
      <c r="H181" s="2" t="s">
        <v>10</v>
      </c>
      <c r="I181" s="2" t="s">
        <v>11</v>
      </c>
      <c r="J181" s="2" t="s">
        <v>35</v>
      </c>
      <c r="K181" s="2" t="s">
        <v>20</v>
      </c>
    </row>
    <row r="182" spans="1:11" x14ac:dyDescent="0.3">
      <c r="A182" s="2">
        <v>10640</v>
      </c>
      <c r="B182" s="3">
        <v>44910</v>
      </c>
      <c r="C182" s="3" t="str">
        <f t="shared" si="4"/>
        <v>Dec</v>
      </c>
      <c r="D182" s="2" t="s">
        <v>21</v>
      </c>
      <c r="E182" s="6">
        <v>12.99</v>
      </c>
      <c r="F182" s="8">
        <v>538.88</v>
      </c>
      <c r="G182" s="4">
        <f t="shared" si="5"/>
        <v>7000.0511999999999</v>
      </c>
      <c r="H182" s="2" t="s">
        <v>10</v>
      </c>
      <c r="I182" s="2" t="s">
        <v>11</v>
      </c>
      <c r="J182" s="2" t="s">
        <v>35</v>
      </c>
      <c r="K182" s="2" t="s">
        <v>20</v>
      </c>
    </row>
    <row r="183" spans="1:11" x14ac:dyDescent="0.3">
      <c r="A183" s="2">
        <v>10641</v>
      </c>
      <c r="B183" s="3">
        <v>44910</v>
      </c>
      <c r="C183" s="3" t="str">
        <f t="shared" si="4"/>
        <v>Dec</v>
      </c>
      <c r="D183" s="2" t="s">
        <v>25</v>
      </c>
      <c r="E183" s="6">
        <v>9.9499999999999993</v>
      </c>
      <c r="F183" s="8">
        <v>221.11</v>
      </c>
      <c r="G183" s="4">
        <f t="shared" si="5"/>
        <v>2200.0445</v>
      </c>
      <c r="H183" s="2" t="s">
        <v>10</v>
      </c>
      <c r="I183" s="2" t="s">
        <v>11</v>
      </c>
      <c r="J183" s="2" t="s">
        <v>35</v>
      </c>
      <c r="K183" s="2" t="s">
        <v>20</v>
      </c>
    </row>
    <row r="184" spans="1:11" x14ac:dyDescent="0.3">
      <c r="A184" s="2">
        <v>10642</v>
      </c>
      <c r="B184" s="3">
        <v>44910</v>
      </c>
      <c r="C184" s="3" t="str">
        <f t="shared" si="4"/>
        <v>Dec</v>
      </c>
      <c r="D184" s="2" t="s">
        <v>9</v>
      </c>
      <c r="E184" s="6">
        <v>3.49</v>
      </c>
      <c r="F184" s="8">
        <v>630.37</v>
      </c>
      <c r="G184" s="4">
        <f t="shared" si="5"/>
        <v>2199.9913000000001</v>
      </c>
      <c r="H184" s="2" t="s">
        <v>10</v>
      </c>
      <c r="I184" s="2" t="s">
        <v>37</v>
      </c>
      <c r="J184" s="2" t="s">
        <v>35</v>
      </c>
      <c r="K184" s="2" t="s">
        <v>20</v>
      </c>
    </row>
    <row r="185" spans="1:11" x14ac:dyDescent="0.3">
      <c r="A185" s="2">
        <v>10643</v>
      </c>
      <c r="B185" s="3">
        <v>44910</v>
      </c>
      <c r="C185" s="3" t="str">
        <f t="shared" si="4"/>
        <v>Dec</v>
      </c>
      <c r="D185" s="2" t="s">
        <v>14</v>
      </c>
      <c r="E185" s="6">
        <v>2.95</v>
      </c>
      <c r="F185" s="8">
        <v>677.97</v>
      </c>
      <c r="G185" s="4">
        <f t="shared" si="5"/>
        <v>2000.0115000000003</v>
      </c>
      <c r="H185" s="2" t="s">
        <v>10</v>
      </c>
      <c r="I185" s="2" t="s">
        <v>37</v>
      </c>
      <c r="J185" s="2" t="s">
        <v>35</v>
      </c>
      <c r="K185" s="2" t="s">
        <v>20</v>
      </c>
    </row>
    <row r="186" spans="1:11" x14ac:dyDescent="0.3">
      <c r="A186" s="2">
        <v>10644</v>
      </c>
      <c r="B186" s="3">
        <v>44910</v>
      </c>
      <c r="C186" s="3" t="str">
        <f t="shared" si="4"/>
        <v>Dec</v>
      </c>
      <c r="D186" s="2" t="s">
        <v>17</v>
      </c>
      <c r="E186" s="6">
        <v>4.99</v>
      </c>
      <c r="F186" s="8">
        <v>200.4</v>
      </c>
      <c r="G186" s="4">
        <f t="shared" si="5"/>
        <v>999.99600000000009</v>
      </c>
      <c r="H186" s="2" t="s">
        <v>10</v>
      </c>
      <c r="I186" s="2" t="s">
        <v>37</v>
      </c>
      <c r="J186" s="2" t="s">
        <v>35</v>
      </c>
      <c r="K186" s="2" t="s">
        <v>20</v>
      </c>
    </row>
    <row r="187" spans="1:11" x14ac:dyDescent="0.3">
      <c r="A187" s="2">
        <v>10645</v>
      </c>
      <c r="B187" s="3">
        <v>44911</v>
      </c>
      <c r="C187" s="3" t="str">
        <f t="shared" si="4"/>
        <v>Dec</v>
      </c>
      <c r="D187" s="2" t="s">
        <v>21</v>
      </c>
      <c r="E187" s="6">
        <v>12.99</v>
      </c>
      <c r="F187" s="8">
        <v>569.66999999999996</v>
      </c>
      <c r="G187" s="4">
        <f t="shared" si="5"/>
        <v>7400.0132999999996</v>
      </c>
      <c r="H187" s="2" t="s">
        <v>10</v>
      </c>
      <c r="I187" s="2" t="s">
        <v>37</v>
      </c>
      <c r="J187" s="2" t="s">
        <v>35</v>
      </c>
      <c r="K187" s="2" t="s">
        <v>20</v>
      </c>
    </row>
    <row r="188" spans="1:11" x14ac:dyDescent="0.3">
      <c r="A188" s="2">
        <v>10646</v>
      </c>
      <c r="B188" s="3">
        <v>44911</v>
      </c>
      <c r="C188" s="3" t="str">
        <f t="shared" si="4"/>
        <v>Dec</v>
      </c>
      <c r="D188" s="2" t="s">
        <v>25</v>
      </c>
      <c r="E188" s="6">
        <v>9.9499999999999993</v>
      </c>
      <c r="F188" s="8">
        <v>221.11</v>
      </c>
      <c r="G188" s="4">
        <f t="shared" si="5"/>
        <v>2200.0445</v>
      </c>
      <c r="H188" s="2" t="s">
        <v>10</v>
      </c>
      <c r="I188" s="2" t="s">
        <v>37</v>
      </c>
      <c r="J188" s="2" t="s">
        <v>35</v>
      </c>
      <c r="K188" s="2" t="s">
        <v>20</v>
      </c>
    </row>
    <row r="189" spans="1:11" x14ac:dyDescent="0.3">
      <c r="A189" s="2">
        <v>10647</v>
      </c>
      <c r="B189" s="3">
        <v>44911</v>
      </c>
      <c r="C189" s="3" t="str">
        <f t="shared" si="4"/>
        <v>Dec</v>
      </c>
      <c r="D189" s="2" t="s">
        <v>9</v>
      </c>
      <c r="E189" s="6">
        <v>3.49</v>
      </c>
      <c r="F189" s="8">
        <v>630.37</v>
      </c>
      <c r="G189" s="4">
        <f t="shared" si="5"/>
        <v>2199.9913000000001</v>
      </c>
      <c r="H189" s="2" t="s">
        <v>10</v>
      </c>
      <c r="I189" s="2" t="s">
        <v>11</v>
      </c>
      <c r="J189" s="2" t="s">
        <v>35</v>
      </c>
      <c r="K189" s="2" t="s">
        <v>20</v>
      </c>
    </row>
    <row r="190" spans="1:11" x14ac:dyDescent="0.3">
      <c r="A190" s="2">
        <v>10648</v>
      </c>
      <c r="B190" s="3">
        <v>44911</v>
      </c>
      <c r="C190" s="3" t="str">
        <f t="shared" si="4"/>
        <v>Dec</v>
      </c>
      <c r="D190" s="2" t="s">
        <v>14</v>
      </c>
      <c r="E190" s="6">
        <v>2.95</v>
      </c>
      <c r="F190" s="8">
        <v>745.76</v>
      </c>
      <c r="G190" s="4">
        <f t="shared" si="5"/>
        <v>2199.9920000000002</v>
      </c>
      <c r="H190" s="2" t="s">
        <v>10</v>
      </c>
      <c r="I190" s="2" t="s">
        <v>11</v>
      </c>
      <c r="J190" s="2" t="s">
        <v>35</v>
      </c>
      <c r="K190" s="2" t="s">
        <v>20</v>
      </c>
    </row>
    <row r="191" spans="1:11" x14ac:dyDescent="0.3">
      <c r="A191" s="2">
        <v>10649</v>
      </c>
      <c r="B191" s="3">
        <v>44911</v>
      </c>
      <c r="C191" s="3" t="str">
        <f t="shared" si="4"/>
        <v>Dec</v>
      </c>
      <c r="D191" s="2" t="s">
        <v>17</v>
      </c>
      <c r="E191" s="6">
        <v>4.99</v>
      </c>
      <c r="F191" s="8">
        <v>200.4</v>
      </c>
      <c r="G191" s="4">
        <f t="shared" si="5"/>
        <v>999.99600000000009</v>
      </c>
      <c r="H191" s="2" t="s">
        <v>10</v>
      </c>
      <c r="I191" s="2" t="s">
        <v>11</v>
      </c>
      <c r="J191" s="2" t="s">
        <v>35</v>
      </c>
      <c r="K191" s="2" t="s">
        <v>20</v>
      </c>
    </row>
    <row r="192" spans="1:11" x14ac:dyDescent="0.3">
      <c r="A192" s="2">
        <v>10650</v>
      </c>
      <c r="B192" s="3">
        <v>44912</v>
      </c>
      <c r="C192" s="3" t="str">
        <f t="shared" si="4"/>
        <v>Dec</v>
      </c>
      <c r="D192" s="2" t="s">
        <v>21</v>
      </c>
      <c r="E192" s="6">
        <v>12.99</v>
      </c>
      <c r="F192" s="8">
        <v>585.07000000000005</v>
      </c>
      <c r="G192" s="4">
        <f t="shared" si="5"/>
        <v>7600.0593000000008</v>
      </c>
      <c r="H192" s="2" t="s">
        <v>10</v>
      </c>
      <c r="I192" s="2" t="s">
        <v>11</v>
      </c>
      <c r="J192" s="2" t="s">
        <v>35</v>
      </c>
      <c r="K192" s="2" t="s">
        <v>20</v>
      </c>
    </row>
    <row r="193" spans="1:11" x14ac:dyDescent="0.3">
      <c r="A193" s="2">
        <v>10651</v>
      </c>
      <c r="B193" s="3">
        <v>44912</v>
      </c>
      <c r="C193" s="3" t="str">
        <f t="shared" si="4"/>
        <v>Dec</v>
      </c>
      <c r="D193" s="2" t="s">
        <v>25</v>
      </c>
      <c r="E193" s="6">
        <v>9.9499999999999993</v>
      </c>
      <c r="F193" s="8">
        <v>221.11</v>
      </c>
      <c r="G193" s="4">
        <f t="shared" si="5"/>
        <v>2200.0445</v>
      </c>
      <c r="H193" s="2" t="s">
        <v>10</v>
      </c>
      <c r="I193" s="2" t="s">
        <v>11</v>
      </c>
      <c r="J193" s="2" t="s">
        <v>35</v>
      </c>
      <c r="K193" s="2" t="s">
        <v>20</v>
      </c>
    </row>
    <row r="194" spans="1:11" x14ac:dyDescent="0.3">
      <c r="A194" s="2">
        <v>10652</v>
      </c>
      <c r="B194" s="3">
        <v>44912</v>
      </c>
      <c r="C194" s="3" t="str">
        <f t="shared" si="4"/>
        <v>Dec</v>
      </c>
      <c r="D194" s="2" t="s">
        <v>9</v>
      </c>
      <c r="E194" s="6">
        <v>3.49</v>
      </c>
      <c r="F194" s="8">
        <v>687.68</v>
      </c>
      <c r="G194" s="4">
        <f t="shared" si="5"/>
        <v>2400.0032000000001</v>
      </c>
      <c r="H194" s="2" t="s">
        <v>10</v>
      </c>
      <c r="I194" s="2" t="s">
        <v>11</v>
      </c>
      <c r="J194" s="2" t="s">
        <v>35</v>
      </c>
      <c r="K194" s="2" t="s">
        <v>20</v>
      </c>
    </row>
    <row r="195" spans="1:11" x14ac:dyDescent="0.3">
      <c r="A195" s="2">
        <v>10653</v>
      </c>
      <c r="B195" s="3">
        <v>44912</v>
      </c>
      <c r="C195" s="3" t="str">
        <f t="shared" ref="C195:C255" si="6">TEXT(B195,"mmm")</f>
        <v>Dec</v>
      </c>
      <c r="D195" s="2" t="s">
        <v>14</v>
      </c>
      <c r="E195" s="6">
        <v>2.95</v>
      </c>
      <c r="F195" s="8">
        <v>745.76</v>
      </c>
      <c r="G195" s="4">
        <f t="shared" ref="G195:G255" si="7">E195*F195</f>
        <v>2199.9920000000002</v>
      </c>
      <c r="H195" s="2" t="s">
        <v>10</v>
      </c>
      <c r="I195" s="2" t="s">
        <v>11</v>
      </c>
      <c r="J195" s="2" t="s">
        <v>35</v>
      </c>
      <c r="K195" s="2" t="s">
        <v>20</v>
      </c>
    </row>
    <row r="196" spans="1:11" x14ac:dyDescent="0.3">
      <c r="A196" s="2">
        <v>10654</v>
      </c>
      <c r="B196" s="3">
        <v>44912</v>
      </c>
      <c r="C196" s="3" t="str">
        <f t="shared" si="6"/>
        <v>Dec</v>
      </c>
      <c r="D196" s="2" t="s">
        <v>17</v>
      </c>
      <c r="E196" s="6">
        <v>4.99</v>
      </c>
      <c r="F196" s="8">
        <v>200.4</v>
      </c>
      <c r="G196" s="4">
        <f t="shared" si="7"/>
        <v>999.99600000000009</v>
      </c>
      <c r="H196" s="2" t="s">
        <v>10</v>
      </c>
      <c r="I196" s="2" t="s">
        <v>11</v>
      </c>
      <c r="J196" s="2" t="s">
        <v>35</v>
      </c>
      <c r="K196" s="2" t="s">
        <v>20</v>
      </c>
    </row>
    <row r="197" spans="1:11" x14ac:dyDescent="0.3">
      <c r="A197" s="2">
        <v>10655</v>
      </c>
      <c r="B197" s="3">
        <v>44913</v>
      </c>
      <c r="C197" s="3" t="str">
        <f t="shared" si="6"/>
        <v>Dec</v>
      </c>
      <c r="D197" s="2" t="s">
        <v>21</v>
      </c>
      <c r="E197" s="6">
        <v>12.99</v>
      </c>
      <c r="F197" s="8">
        <v>600.46</v>
      </c>
      <c r="G197" s="4">
        <f t="shared" si="7"/>
        <v>7799.9754000000003</v>
      </c>
      <c r="H197" s="2" t="s">
        <v>10</v>
      </c>
      <c r="I197" s="2" t="s">
        <v>11</v>
      </c>
      <c r="J197" s="2" t="s">
        <v>35</v>
      </c>
      <c r="K197" s="2" t="s">
        <v>20</v>
      </c>
    </row>
    <row r="198" spans="1:11" x14ac:dyDescent="0.3">
      <c r="A198" s="2">
        <v>10656</v>
      </c>
      <c r="B198" s="3">
        <v>44913</v>
      </c>
      <c r="C198" s="3" t="str">
        <f t="shared" si="6"/>
        <v>Dec</v>
      </c>
      <c r="D198" s="2" t="s">
        <v>25</v>
      </c>
      <c r="E198" s="6">
        <v>9.9499999999999993</v>
      </c>
      <c r="F198" s="8">
        <v>221.11</v>
      </c>
      <c r="G198" s="4">
        <f t="shared" si="7"/>
        <v>2200.0445</v>
      </c>
      <c r="H198" s="2" t="s">
        <v>10</v>
      </c>
      <c r="I198" s="2" t="s">
        <v>11</v>
      </c>
      <c r="J198" s="2" t="s">
        <v>35</v>
      </c>
      <c r="K198" s="2" t="s">
        <v>20</v>
      </c>
    </row>
    <row r="199" spans="1:11" x14ac:dyDescent="0.3">
      <c r="A199" s="2">
        <v>10657</v>
      </c>
      <c r="B199" s="3">
        <v>44913</v>
      </c>
      <c r="C199" s="3" t="str">
        <f t="shared" si="6"/>
        <v>Dec</v>
      </c>
      <c r="D199" s="2" t="s">
        <v>9</v>
      </c>
      <c r="E199" s="6">
        <v>3.49</v>
      </c>
      <c r="F199" s="8">
        <v>687.68</v>
      </c>
      <c r="G199" s="4">
        <f t="shared" si="7"/>
        <v>2400.0032000000001</v>
      </c>
      <c r="H199" s="2" t="s">
        <v>10</v>
      </c>
      <c r="I199" s="2" t="s">
        <v>11</v>
      </c>
      <c r="J199" s="2" t="s">
        <v>35</v>
      </c>
      <c r="K199" s="2" t="s">
        <v>20</v>
      </c>
    </row>
    <row r="200" spans="1:11" x14ac:dyDescent="0.3">
      <c r="A200" s="2">
        <v>10658</v>
      </c>
      <c r="B200" s="3">
        <v>44913</v>
      </c>
      <c r="C200" s="3" t="str">
        <f t="shared" si="6"/>
        <v>Dec</v>
      </c>
      <c r="D200" s="2" t="s">
        <v>14</v>
      </c>
      <c r="E200" s="6">
        <v>2.95</v>
      </c>
      <c r="F200" s="8">
        <v>745.76</v>
      </c>
      <c r="G200" s="4">
        <f t="shared" si="7"/>
        <v>2199.9920000000002</v>
      </c>
      <c r="H200" s="2" t="s">
        <v>10</v>
      </c>
      <c r="I200" s="2" t="s">
        <v>37</v>
      </c>
      <c r="J200" s="2" t="s">
        <v>35</v>
      </c>
      <c r="K200" s="2" t="s">
        <v>20</v>
      </c>
    </row>
    <row r="201" spans="1:11" x14ac:dyDescent="0.3">
      <c r="A201" s="2">
        <v>10659</v>
      </c>
      <c r="B201" s="3">
        <v>44913</v>
      </c>
      <c r="C201" s="3" t="str">
        <f t="shared" si="6"/>
        <v>Dec</v>
      </c>
      <c r="D201" s="2" t="s">
        <v>17</v>
      </c>
      <c r="E201" s="6">
        <v>4.99</v>
      </c>
      <c r="F201" s="8">
        <v>200.4</v>
      </c>
      <c r="G201" s="4">
        <f t="shared" si="7"/>
        <v>999.99600000000009</v>
      </c>
      <c r="H201" s="2" t="s">
        <v>10</v>
      </c>
      <c r="I201" s="2" t="s">
        <v>37</v>
      </c>
      <c r="J201" s="2" t="s">
        <v>35</v>
      </c>
      <c r="K201" s="2" t="s">
        <v>20</v>
      </c>
    </row>
    <row r="202" spans="1:11" x14ac:dyDescent="0.3">
      <c r="A202" s="2">
        <v>10660</v>
      </c>
      <c r="B202" s="3">
        <v>44914</v>
      </c>
      <c r="C202" s="3" t="str">
        <f t="shared" si="6"/>
        <v>Dec</v>
      </c>
      <c r="D202" s="2" t="s">
        <v>21</v>
      </c>
      <c r="E202" s="6">
        <v>12.99</v>
      </c>
      <c r="F202" s="8">
        <v>631.25</v>
      </c>
      <c r="G202" s="4">
        <f t="shared" si="7"/>
        <v>8199.9375</v>
      </c>
      <c r="H202" s="2" t="s">
        <v>18</v>
      </c>
      <c r="I202" s="2" t="s">
        <v>37</v>
      </c>
      <c r="J202" s="2" t="s">
        <v>35</v>
      </c>
      <c r="K202" s="2" t="s">
        <v>20</v>
      </c>
    </row>
    <row r="203" spans="1:11" x14ac:dyDescent="0.3">
      <c r="A203" s="2">
        <v>10661</v>
      </c>
      <c r="B203" s="3">
        <v>44914</v>
      </c>
      <c r="C203" s="3" t="str">
        <f t="shared" si="6"/>
        <v>Dec</v>
      </c>
      <c r="D203" s="2" t="s">
        <v>25</v>
      </c>
      <c r="E203" s="6">
        <v>9.9499999999999993</v>
      </c>
      <c r="F203" s="8">
        <v>221.11</v>
      </c>
      <c r="G203" s="4">
        <f t="shared" si="7"/>
        <v>2200.0445</v>
      </c>
      <c r="H203" s="2" t="s">
        <v>18</v>
      </c>
      <c r="I203" s="2" t="s">
        <v>37</v>
      </c>
      <c r="J203" s="2" t="s">
        <v>35</v>
      </c>
      <c r="K203" s="2" t="s">
        <v>20</v>
      </c>
    </row>
    <row r="204" spans="1:11" x14ac:dyDescent="0.3">
      <c r="A204" s="2">
        <v>10662</v>
      </c>
      <c r="B204" s="3">
        <v>44914</v>
      </c>
      <c r="C204" s="3" t="str">
        <f t="shared" si="6"/>
        <v>Dec</v>
      </c>
      <c r="D204" s="2" t="s">
        <v>9</v>
      </c>
      <c r="E204" s="6">
        <v>3.49</v>
      </c>
      <c r="F204" s="8">
        <v>630.37</v>
      </c>
      <c r="G204" s="4">
        <f t="shared" si="7"/>
        <v>2199.9913000000001</v>
      </c>
      <c r="H204" s="2" t="s">
        <v>18</v>
      </c>
      <c r="I204" s="2" t="s">
        <v>37</v>
      </c>
      <c r="J204" s="2" t="s">
        <v>35</v>
      </c>
      <c r="K204" s="2" t="s">
        <v>20</v>
      </c>
    </row>
    <row r="205" spans="1:11" x14ac:dyDescent="0.3">
      <c r="A205" s="2">
        <v>10663</v>
      </c>
      <c r="B205" s="3">
        <v>44914</v>
      </c>
      <c r="C205" s="3" t="str">
        <f t="shared" si="6"/>
        <v>Dec</v>
      </c>
      <c r="D205" s="2" t="s">
        <v>14</v>
      </c>
      <c r="E205" s="6">
        <v>2.95</v>
      </c>
      <c r="F205" s="8">
        <v>745.76</v>
      </c>
      <c r="G205" s="4">
        <f t="shared" si="7"/>
        <v>2199.9920000000002</v>
      </c>
      <c r="H205" s="2" t="s">
        <v>18</v>
      </c>
      <c r="I205" s="2" t="s">
        <v>37</v>
      </c>
      <c r="J205" s="2" t="s">
        <v>35</v>
      </c>
      <c r="K205" s="2" t="s">
        <v>20</v>
      </c>
    </row>
    <row r="206" spans="1:11" x14ac:dyDescent="0.3">
      <c r="A206" s="2">
        <v>10664</v>
      </c>
      <c r="B206" s="3">
        <v>44914</v>
      </c>
      <c r="C206" s="3" t="str">
        <f t="shared" si="6"/>
        <v>Dec</v>
      </c>
      <c r="D206" s="2" t="s">
        <v>17</v>
      </c>
      <c r="E206" s="6">
        <v>4.99</v>
      </c>
      <c r="F206" s="8">
        <v>200.4</v>
      </c>
      <c r="G206" s="4">
        <f t="shared" si="7"/>
        <v>999.99600000000009</v>
      </c>
      <c r="H206" s="2" t="s">
        <v>18</v>
      </c>
      <c r="I206" s="2" t="s">
        <v>37</v>
      </c>
      <c r="J206" s="2" t="s">
        <v>35</v>
      </c>
      <c r="K206" s="2" t="s">
        <v>20</v>
      </c>
    </row>
    <row r="207" spans="1:11" x14ac:dyDescent="0.3">
      <c r="A207" s="2">
        <v>10665</v>
      </c>
      <c r="B207" s="3">
        <v>44915</v>
      </c>
      <c r="C207" s="3" t="str">
        <f t="shared" si="6"/>
        <v>Dec</v>
      </c>
      <c r="D207" s="2" t="s">
        <v>21</v>
      </c>
      <c r="E207" s="6">
        <v>12.99</v>
      </c>
      <c r="F207" s="8">
        <v>646.65</v>
      </c>
      <c r="G207" s="4">
        <f t="shared" si="7"/>
        <v>8399.9835000000003</v>
      </c>
      <c r="H207" s="2" t="s">
        <v>18</v>
      </c>
      <c r="I207" s="2" t="s">
        <v>37</v>
      </c>
      <c r="J207" s="2" t="s">
        <v>35</v>
      </c>
      <c r="K207" s="2" t="s">
        <v>20</v>
      </c>
    </row>
    <row r="208" spans="1:11" x14ac:dyDescent="0.3">
      <c r="A208" s="2">
        <v>10666</v>
      </c>
      <c r="B208" s="3">
        <v>44915</v>
      </c>
      <c r="C208" s="3" t="str">
        <f t="shared" si="6"/>
        <v>Dec</v>
      </c>
      <c r="D208" s="2" t="s">
        <v>25</v>
      </c>
      <c r="E208" s="6">
        <v>9.9499999999999993</v>
      </c>
      <c r="F208" s="8">
        <v>221.11</v>
      </c>
      <c r="G208" s="4">
        <f t="shared" si="7"/>
        <v>2200.0445</v>
      </c>
      <c r="H208" s="2" t="s">
        <v>18</v>
      </c>
      <c r="I208" s="2" t="s">
        <v>37</v>
      </c>
      <c r="J208" s="2" t="s">
        <v>35</v>
      </c>
      <c r="K208" s="2" t="s">
        <v>20</v>
      </c>
    </row>
    <row r="209" spans="1:11" x14ac:dyDescent="0.3">
      <c r="A209" s="2">
        <v>10667</v>
      </c>
      <c r="B209" s="3">
        <v>44915</v>
      </c>
      <c r="C209" s="3" t="str">
        <f t="shared" si="6"/>
        <v>Dec</v>
      </c>
      <c r="D209" s="2" t="s">
        <v>9</v>
      </c>
      <c r="E209" s="6">
        <v>3.49</v>
      </c>
      <c r="F209" s="8">
        <v>630.37</v>
      </c>
      <c r="G209" s="4">
        <f t="shared" si="7"/>
        <v>2199.9913000000001</v>
      </c>
      <c r="H209" s="2" t="s">
        <v>18</v>
      </c>
      <c r="I209" s="2" t="s">
        <v>37</v>
      </c>
      <c r="J209" s="2" t="s">
        <v>35</v>
      </c>
      <c r="K209" s="2" t="s">
        <v>20</v>
      </c>
    </row>
    <row r="210" spans="1:11" x14ac:dyDescent="0.3">
      <c r="A210" s="2">
        <v>10668</v>
      </c>
      <c r="B210" s="3">
        <v>44915</v>
      </c>
      <c r="C210" s="3" t="str">
        <f t="shared" si="6"/>
        <v>Dec</v>
      </c>
      <c r="D210" s="2" t="s">
        <v>14</v>
      </c>
      <c r="E210" s="6">
        <v>2.95</v>
      </c>
      <c r="F210" s="8">
        <v>745.76</v>
      </c>
      <c r="G210" s="4">
        <f t="shared" si="7"/>
        <v>2199.9920000000002</v>
      </c>
      <c r="H210" s="2" t="s">
        <v>18</v>
      </c>
      <c r="I210" s="2" t="s">
        <v>37</v>
      </c>
      <c r="J210" s="2" t="s">
        <v>35</v>
      </c>
      <c r="K210" s="2" t="s">
        <v>20</v>
      </c>
    </row>
    <row r="211" spans="1:11" x14ac:dyDescent="0.3">
      <c r="A211" s="2">
        <v>10669</v>
      </c>
      <c r="B211" s="3">
        <v>44915</v>
      </c>
      <c r="C211" s="3" t="str">
        <f t="shared" si="6"/>
        <v>Dec</v>
      </c>
      <c r="D211" s="2" t="s">
        <v>17</v>
      </c>
      <c r="E211" s="6">
        <v>4.99</v>
      </c>
      <c r="F211" s="8">
        <v>200.4</v>
      </c>
      <c r="G211" s="4">
        <f t="shared" si="7"/>
        <v>999.99600000000009</v>
      </c>
      <c r="H211" s="2" t="s">
        <v>18</v>
      </c>
      <c r="I211" s="2" t="s">
        <v>37</v>
      </c>
      <c r="J211" s="2" t="s">
        <v>35</v>
      </c>
      <c r="K211" s="2" t="s">
        <v>20</v>
      </c>
    </row>
    <row r="212" spans="1:11" x14ac:dyDescent="0.3">
      <c r="A212" s="2">
        <v>10670</v>
      </c>
      <c r="B212" s="3">
        <v>44916</v>
      </c>
      <c r="C212" s="3" t="str">
        <f t="shared" si="6"/>
        <v>Dec</v>
      </c>
      <c r="D212" s="2" t="s">
        <v>21</v>
      </c>
      <c r="E212" s="6">
        <v>12.99</v>
      </c>
      <c r="F212" s="8">
        <v>677.44</v>
      </c>
      <c r="G212" s="4">
        <f t="shared" si="7"/>
        <v>8799.9456000000009</v>
      </c>
      <c r="H212" s="2" t="s">
        <v>18</v>
      </c>
      <c r="I212" s="2" t="s">
        <v>37</v>
      </c>
      <c r="J212" s="2" t="s">
        <v>35</v>
      </c>
      <c r="K212" s="2" t="s">
        <v>20</v>
      </c>
    </row>
    <row r="213" spans="1:11" x14ac:dyDescent="0.3">
      <c r="A213" s="2">
        <v>10671</v>
      </c>
      <c r="B213" s="3">
        <v>44916</v>
      </c>
      <c r="C213" s="3" t="str">
        <f t="shared" si="6"/>
        <v>Dec</v>
      </c>
      <c r="D213" s="2" t="s">
        <v>25</v>
      </c>
      <c r="E213" s="6">
        <v>9.9499999999999993</v>
      </c>
      <c r="F213" s="8">
        <v>221.11</v>
      </c>
      <c r="G213" s="4">
        <f t="shared" si="7"/>
        <v>2200.0445</v>
      </c>
      <c r="H213" s="2" t="s">
        <v>18</v>
      </c>
      <c r="I213" s="2" t="s">
        <v>37</v>
      </c>
      <c r="J213" s="2" t="s">
        <v>35</v>
      </c>
      <c r="K213" s="2" t="s">
        <v>20</v>
      </c>
    </row>
    <row r="214" spans="1:11" x14ac:dyDescent="0.3">
      <c r="A214" s="2">
        <v>10672</v>
      </c>
      <c r="B214" s="3">
        <v>44916</v>
      </c>
      <c r="C214" s="3" t="str">
        <f t="shared" si="6"/>
        <v>Dec</v>
      </c>
      <c r="D214" s="2" t="s">
        <v>9</v>
      </c>
      <c r="E214" s="6">
        <v>3.49</v>
      </c>
      <c r="F214" s="8">
        <v>630.37</v>
      </c>
      <c r="G214" s="4">
        <f t="shared" si="7"/>
        <v>2199.9913000000001</v>
      </c>
      <c r="H214" s="2" t="s">
        <v>18</v>
      </c>
      <c r="I214" s="2" t="s">
        <v>37</v>
      </c>
      <c r="J214" s="2" t="s">
        <v>35</v>
      </c>
      <c r="K214" s="2" t="s">
        <v>20</v>
      </c>
    </row>
    <row r="215" spans="1:11" x14ac:dyDescent="0.3">
      <c r="A215" s="2">
        <v>10673</v>
      </c>
      <c r="B215" s="3">
        <v>44916</v>
      </c>
      <c r="C215" s="3" t="str">
        <f t="shared" si="6"/>
        <v>Dec</v>
      </c>
      <c r="D215" s="2" t="s">
        <v>14</v>
      </c>
      <c r="E215" s="6">
        <v>2.95</v>
      </c>
      <c r="F215" s="8">
        <v>745.76</v>
      </c>
      <c r="G215" s="4">
        <f t="shared" si="7"/>
        <v>2199.9920000000002</v>
      </c>
      <c r="H215" s="2" t="s">
        <v>18</v>
      </c>
      <c r="I215" s="2" t="s">
        <v>37</v>
      </c>
      <c r="J215" s="2" t="s">
        <v>35</v>
      </c>
      <c r="K215" s="2" t="s">
        <v>20</v>
      </c>
    </row>
    <row r="216" spans="1:11" x14ac:dyDescent="0.3">
      <c r="A216" s="2">
        <v>10674</v>
      </c>
      <c r="B216" s="3">
        <v>44916</v>
      </c>
      <c r="C216" s="3" t="str">
        <f t="shared" si="6"/>
        <v>Dec</v>
      </c>
      <c r="D216" s="2" t="s">
        <v>17</v>
      </c>
      <c r="E216" s="6">
        <v>4.99</v>
      </c>
      <c r="F216" s="8">
        <v>200.4</v>
      </c>
      <c r="G216" s="4">
        <f t="shared" si="7"/>
        <v>999.99600000000009</v>
      </c>
      <c r="H216" s="2" t="s">
        <v>18</v>
      </c>
      <c r="I216" s="2" t="s">
        <v>37</v>
      </c>
      <c r="J216" s="2" t="s">
        <v>35</v>
      </c>
      <c r="K216" s="2" t="s">
        <v>20</v>
      </c>
    </row>
    <row r="217" spans="1:11" x14ac:dyDescent="0.3">
      <c r="A217" s="2">
        <v>10675</v>
      </c>
      <c r="B217" s="3">
        <v>44917</v>
      </c>
      <c r="C217" s="3" t="str">
        <f t="shared" si="6"/>
        <v>Dec</v>
      </c>
      <c r="D217" s="2" t="s">
        <v>21</v>
      </c>
      <c r="E217" s="6">
        <v>12.99</v>
      </c>
      <c r="F217" s="8">
        <v>677.44</v>
      </c>
      <c r="G217" s="4">
        <f t="shared" si="7"/>
        <v>8799.9456000000009</v>
      </c>
      <c r="H217" s="2" t="s">
        <v>18</v>
      </c>
      <c r="I217" s="2" t="s">
        <v>37</v>
      </c>
      <c r="J217" s="2" t="s">
        <v>35</v>
      </c>
      <c r="K217" s="2" t="s">
        <v>20</v>
      </c>
    </row>
    <row r="218" spans="1:11" x14ac:dyDescent="0.3">
      <c r="A218" s="2">
        <v>10676</v>
      </c>
      <c r="B218" s="3">
        <v>44917</v>
      </c>
      <c r="C218" s="3" t="str">
        <f t="shared" si="6"/>
        <v>Dec</v>
      </c>
      <c r="D218" s="2" t="s">
        <v>25</v>
      </c>
      <c r="E218" s="6">
        <v>9.9499999999999993</v>
      </c>
      <c r="F218" s="8">
        <v>241.21</v>
      </c>
      <c r="G218" s="4">
        <f t="shared" si="7"/>
        <v>2400.0394999999999</v>
      </c>
      <c r="H218" s="2" t="s">
        <v>18</v>
      </c>
      <c r="I218" s="2" t="s">
        <v>37</v>
      </c>
      <c r="J218" s="2" t="s">
        <v>35</v>
      </c>
      <c r="K218" s="2" t="s">
        <v>20</v>
      </c>
    </row>
    <row r="219" spans="1:11" x14ac:dyDescent="0.3">
      <c r="A219" s="2">
        <v>10677</v>
      </c>
      <c r="B219" s="3">
        <v>44917</v>
      </c>
      <c r="C219" s="3" t="str">
        <f t="shared" si="6"/>
        <v>Dec</v>
      </c>
      <c r="D219" s="2" t="s">
        <v>9</v>
      </c>
      <c r="E219" s="6">
        <v>3.49</v>
      </c>
      <c r="F219" s="8">
        <v>630.37</v>
      </c>
      <c r="G219" s="4">
        <f t="shared" si="7"/>
        <v>2199.9913000000001</v>
      </c>
      <c r="H219" s="2" t="s">
        <v>18</v>
      </c>
      <c r="I219" s="2" t="s">
        <v>37</v>
      </c>
      <c r="J219" s="2" t="s">
        <v>35</v>
      </c>
      <c r="K219" s="2" t="s">
        <v>20</v>
      </c>
    </row>
    <row r="220" spans="1:11" x14ac:dyDescent="0.3">
      <c r="A220" s="2">
        <v>10678</v>
      </c>
      <c r="B220" s="3">
        <v>44917</v>
      </c>
      <c r="C220" s="3" t="str">
        <f t="shared" si="6"/>
        <v>Dec</v>
      </c>
      <c r="D220" s="2" t="s">
        <v>14</v>
      </c>
      <c r="E220" s="6">
        <v>2.95</v>
      </c>
      <c r="F220" s="8">
        <v>745.76</v>
      </c>
      <c r="G220" s="4">
        <f t="shared" si="7"/>
        <v>2199.9920000000002</v>
      </c>
      <c r="H220" s="2" t="s">
        <v>18</v>
      </c>
      <c r="I220" s="2" t="s">
        <v>37</v>
      </c>
      <c r="J220" s="2" t="s">
        <v>35</v>
      </c>
      <c r="K220" s="2" t="s">
        <v>20</v>
      </c>
    </row>
    <row r="221" spans="1:11" x14ac:dyDescent="0.3">
      <c r="A221" s="2">
        <v>10679</v>
      </c>
      <c r="B221" s="3">
        <v>44917</v>
      </c>
      <c r="C221" s="3" t="str">
        <f t="shared" si="6"/>
        <v>Dec</v>
      </c>
      <c r="D221" s="2" t="s">
        <v>17</v>
      </c>
      <c r="E221" s="6">
        <v>4.99</v>
      </c>
      <c r="F221" s="8">
        <v>200.4</v>
      </c>
      <c r="G221" s="4">
        <f t="shared" si="7"/>
        <v>999.99600000000009</v>
      </c>
      <c r="H221" s="2" t="s">
        <v>18</v>
      </c>
      <c r="I221" s="2" t="s">
        <v>37</v>
      </c>
      <c r="J221" s="2" t="s">
        <v>35</v>
      </c>
      <c r="K221" s="2" t="s">
        <v>20</v>
      </c>
    </row>
    <row r="222" spans="1:11" x14ac:dyDescent="0.3">
      <c r="A222" s="2">
        <v>10680</v>
      </c>
      <c r="B222" s="3">
        <v>44918</v>
      </c>
      <c r="C222" s="3" t="str">
        <f t="shared" si="6"/>
        <v>Dec</v>
      </c>
      <c r="D222" s="2" t="s">
        <v>21</v>
      </c>
      <c r="E222" s="6">
        <v>12.99</v>
      </c>
      <c r="F222" s="8">
        <v>646.65</v>
      </c>
      <c r="G222" s="4">
        <f t="shared" si="7"/>
        <v>8399.9835000000003</v>
      </c>
      <c r="H222" s="2" t="s">
        <v>18</v>
      </c>
      <c r="I222" s="2" t="s">
        <v>37</v>
      </c>
      <c r="J222" s="2" t="s">
        <v>35</v>
      </c>
      <c r="K222" s="2" t="s">
        <v>20</v>
      </c>
    </row>
    <row r="223" spans="1:11" x14ac:dyDescent="0.3">
      <c r="A223" s="2">
        <v>10681</v>
      </c>
      <c r="B223" s="3">
        <v>44918</v>
      </c>
      <c r="C223" s="3" t="str">
        <f t="shared" si="6"/>
        <v>Dec</v>
      </c>
      <c r="D223" s="2" t="s">
        <v>25</v>
      </c>
      <c r="E223" s="6">
        <v>9.9499999999999993</v>
      </c>
      <c r="F223" s="8">
        <v>241.21</v>
      </c>
      <c r="G223" s="4">
        <f t="shared" si="7"/>
        <v>2400.0394999999999</v>
      </c>
      <c r="H223" s="2" t="s">
        <v>18</v>
      </c>
      <c r="I223" s="2" t="s">
        <v>37</v>
      </c>
      <c r="J223" s="2" t="s">
        <v>35</v>
      </c>
      <c r="K223" s="2" t="s">
        <v>20</v>
      </c>
    </row>
    <row r="224" spans="1:11" x14ac:dyDescent="0.3">
      <c r="A224" s="2">
        <v>10682</v>
      </c>
      <c r="B224" s="3">
        <v>44918</v>
      </c>
      <c r="C224" s="3" t="str">
        <f t="shared" si="6"/>
        <v>Dec</v>
      </c>
      <c r="D224" s="2" t="s">
        <v>9</v>
      </c>
      <c r="E224" s="6">
        <v>3.49</v>
      </c>
      <c r="F224" s="8">
        <v>630.37</v>
      </c>
      <c r="G224" s="4">
        <f t="shared" si="7"/>
        <v>2199.9913000000001</v>
      </c>
      <c r="H224" s="2" t="s">
        <v>18</v>
      </c>
      <c r="I224" s="2" t="s">
        <v>37</v>
      </c>
      <c r="J224" s="2" t="s">
        <v>35</v>
      </c>
      <c r="K224" s="2" t="s">
        <v>20</v>
      </c>
    </row>
    <row r="225" spans="1:11" x14ac:dyDescent="0.3">
      <c r="A225" s="2">
        <v>10683</v>
      </c>
      <c r="B225" s="3">
        <v>44918</v>
      </c>
      <c r="C225" s="3" t="str">
        <f t="shared" si="6"/>
        <v>Dec</v>
      </c>
      <c r="D225" s="2" t="s">
        <v>14</v>
      </c>
      <c r="E225" s="6">
        <v>2.95</v>
      </c>
      <c r="F225" s="8">
        <v>677.97</v>
      </c>
      <c r="G225" s="4">
        <f t="shared" si="7"/>
        <v>2000.0115000000003</v>
      </c>
      <c r="H225" s="2" t="s">
        <v>18</v>
      </c>
      <c r="I225" s="2" t="s">
        <v>37</v>
      </c>
      <c r="J225" s="2" t="s">
        <v>35</v>
      </c>
      <c r="K225" s="2" t="s">
        <v>20</v>
      </c>
    </row>
    <row r="226" spans="1:11" x14ac:dyDescent="0.3">
      <c r="A226" s="2">
        <v>10684</v>
      </c>
      <c r="B226" s="3">
        <v>44918</v>
      </c>
      <c r="C226" s="3" t="str">
        <f t="shared" si="6"/>
        <v>Dec</v>
      </c>
      <c r="D226" s="2" t="s">
        <v>17</v>
      </c>
      <c r="E226" s="6">
        <v>4.99</v>
      </c>
      <c r="F226" s="8">
        <v>200.4</v>
      </c>
      <c r="G226" s="4">
        <f t="shared" si="7"/>
        <v>999.99600000000009</v>
      </c>
      <c r="H226" s="2" t="s">
        <v>18</v>
      </c>
      <c r="I226" s="2" t="s">
        <v>37</v>
      </c>
      <c r="J226" s="2" t="s">
        <v>35</v>
      </c>
      <c r="K226" s="2" t="s">
        <v>20</v>
      </c>
    </row>
    <row r="227" spans="1:11" x14ac:dyDescent="0.3">
      <c r="A227" s="2">
        <v>10685</v>
      </c>
      <c r="B227" s="3">
        <v>44919</v>
      </c>
      <c r="C227" s="3" t="str">
        <f t="shared" si="6"/>
        <v>Dec</v>
      </c>
      <c r="D227" s="2" t="s">
        <v>21</v>
      </c>
      <c r="E227" s="6">
        <v>12.99</v>
      </c>
      <c r="F227" s="8">
        <v>677.44</v>
      </c>
      <c r="G227" s="4">
        <f t="shared" si="7"/>
        <v>8799.9456000000009</v>
      </c>
      <c r="H227" s="2" t="s">
        <v>18</v>
      </c>
      <c r="I227" s="2" t="s">
        <v>37</v>
      </c>
      <c r="J227" s="2" t="s">
        <v>35</v>
      </c>
      <c r="K227" s="2" t="s">
        <v>20</v>
      </c>
    </row>
    <row r="228" spans="1:11" x14ac:dyDescent="0.3">
      <c r="A228" s="2">
        <v>10686</v>
      </c>
      <c r="B228" s="3">
        <v>44919</v>
      </c>
      <c r="C228" s="3" t="str">
        <f t="shared" si="6"/>
        <v>Dec</v>
      </c>
      <c r="D228" s="2" t="s">
        <v>25</v>
      </c>
      <c r="E228" s="6">
        <v>9.9499999999999993</v>
      </c>
      <c r="F228" s="8">
        <v>241.21</v>
      </c>
      <c r="G228" s="4">
        <f t="shared" si="7"/>
        <v>2400.0394999999999</v>
      </c>
      <c r="H228" s="2" t="s">
        <v>18</v>
      </c>
      <c r="I228" s="2" t="s">
        <v>37</v>
      </c>
      <c r="J228" s="2" t="s">
        <v>35</v>
      </c>
      <c r="K228" s="2" t="s">
        <v>20</v>
      </c>
    </row>
    <row r="229" spans="1:11" x14ac:dyDescent="0.3">
      <c r="A229" s="2">
        <v>10687</v>
      </c>
      <c r="B229" s="3">
        <v>44919</v>
      </c>
      <c r="C229" s="3" t="str">
        <f t="shared" si="6"/>
        <v>Dec</v>
      </c>
      <c r="D229" s="2" t="s">
        <v>9</v>
      </c>
      <c r="E229" s="6">
        <v>3.49</v>
      </c>
      <c r="F229" s="8">
        <v>630.37</v>
      </c>
      <c r="G229" s="4">
        <f t="shared" si="7"/>
        <v>2199.9913000000001</v>
      </c>
      <c r="H229" s="2" t="s">
        <v>18</v>
      </c>
      <c r="I229" s="2" t="s">
        <v>37</v>
      </c>
      <c r="J229" s="2" t="s">
        <v>23</v>
      </c>
      <c r="K229" s="2" t="s">
        <v>24</v>
      </c>
    </row>
    <row r="230" spans="1:11" x14ac:dyDescent="0.3">
      <c r="A230" s="2">
        <v>10688</v>
      </c>
      <c r="B230" s="3">
        <v>44919</v>
      </c>
      <c r="C230" s="3" t="str">
        <f t="shared" si="6"/>
        <v>Dec</v>
      </c>
      <c r="D230" s="2" t="s">
        <v>14</v>
      </c>
      <c r="E230" s="6">
        <v>2.95</v>
      </c>
      <c r="F230" s="8">
        <v>677.97</v>
      </c>
      <c r="G230" s="4">
        <f t="shared" si="7"/>
        <v>2000.0115000000003</v>
      </c>
      <c r="H230" s="2" t="s">
        <v>18</v>
      </c>
      <c r="I230" s="2" t="s">
        <v>37</v>
      </c>
      <c r="J230" s="2" t="s">
        <v>23</v>
      </c>
      <c r="K230" s="2" t="s">
        <v>24</v>
      </c>
    </row>
    <row r="231" spans="1:11" x14ac:dyDescent="0.3">
      <c r="A231" s="2">
        <v>10689</v>
      </c>
      <c r="B231" s="3">
        <v>44919</v>
      </c>
      <c r="C231" s="3" t="str">
        <f t="shared" si="6"/>
        <v>Dec</v>
      </c>
      <c r="D231" s="2" t="s">
        <v>17</v>
      </c>
      <c r="E231" s="6">
        <v>4.99</v>
      </c>
      <c r="F231" s="8">
        <v>200.4</v>
      </c>
      <c r="G231" s="4">
        <f t="shared" si="7"/>
        <v>999.99600000000009</v>
      </c>
      <c r="H231" s="2" t="s">
        <v>18</v>
      </c>
      <c r="I231" s="2" t="s">
        <v>37</v>
      </c>
      <c r="J231" s="2" t="s">
        <v>23</v>
      </c>
      <c r="K231" s="2" t="s">
        <v>24</v>
      </c>
    </row>
    <row r="232" spans="1:11" x14ac:dyDescent="0.3">
      <c r="A232" s="2">
        <v>10690</v>
      </c>
      <c r="B232" s="3">
        <v>44920</v>
      </c>
      <c r="C232" s="3" t="str">
        <f t="shared" si="6"/>
        <v>Dec</v>
      </c>
      <c r="D232" s="2" t="s">
        <v>21</v>
      </c>
      <c r="E232" s="6">
        <v>12.99</v>
      </c>
      <c r="F232" s="8">
        <v>677.44</v>
      </c>
      <c r="G232" s="4">
        <f t="shared" si="7"/>
        <v>8799.9456000000009</v>
      </c>
      <c r="H232" s="2" t="s">
        <v>18</v>
      </c>
      <c r="I232" s="2" t="s">
        <v>37</v>
      </c>
      <c r="J232" s="2" t="s">
        <v>23</v>
      </c>
      <c r="K232" s="2" t="s">
        <v>24</v>
      </c>
    </row>
    <row r="233" spans="1:11" x14ac:dyDescent="0.3">
      <c r="A233" s="2">
        <v>10691</v>
      </c>
      <c r="B233" s="3">
        <v>44920</v>
      </c>
      <c r="C233" s="3" t="str">
        <f t="shared" si="6"/>
        <v>Dec</v>
      </c>
      <c r="D233" s="2" t="s">
        <v>25</v>
      </c>
      <c r="E233" s="6">
        <v>9.9499999999999993</v>
      </c>
      <c r="F233" s="8">
        <v>261.31</v>
      </c>
      <c r="G233" s="4">
        <f t="shared" si="7"/>
        <v>2600.0344999999998</v>
      </c>
      <c r="H233" s="2" t="s">
        <v>18</v>
      </c>
      <c r="I233" s="2" t="s">
        <v>37</v>
      </c>
      <c r="J233" s="2" t="s">
        <v>23</v>
      </c>
      <c r="K233" s="2" t="s">
        <v>24</v>
      </c>
    </row>
    <row r="234" spans="1:11" x14ac:dyDescent="0.3">
      <c r="A234" s="2">
        <v>10692</v>
      </c>
      <c r="B234" s="3">
        <v>44920</v>
      </c>
      <c r="C234" s="3" t="str">
        <f t="shared" si="6"/>
        <v>Dec</v>
      </c>
      <c r="D234" s="2" t="s">
        <v>9</v>
      </c>
      <c r="E234" s="6">
        <v>3.49</v>
      </c>
      <c r="F234" s="8">
        <v>630.37</v>
      </c>
      <c r="G234" s="4">
        <f t="shared" si="7"/>
        <v>2199.9913000000001</v>
      </c>
      <c r="H234" s="2" t="s">
        <v>18</v>
      </c>
      <c r="I234" s="2" t="s">
        <v>37</v>
      </c>
      <c r="J234" s="2" t="s">
        <v>23</v>
      </c>
      <c r="K234" s="2" t="s">
        <v>24</v>
      </c>
    </row>
    <row r="235" spans="1:11" x14ac:dyDescent="0.3">
      <c r="A235" s="2">
        <v>10693</v>
      </c>
      <c r="B235" s="3">
        <v>44920</v>
      </c>
      <c r="C235" s="3" t="str">
        <f t="shared" si="6"/>
        <v>Dec</v>
      </c>
      <c r="D235" s="2" t="s">
        <v>14</v>
      </c>
      <c r="E235" s="6">
        <v>2.95</v>
      </c>
      <c r="F235" s="8">
        <v>677.97</v>
      </c>
      <c r="G235" s="4">
        <f t="shared" si="7"/>
        <v>2000.0115000000003</v>
      </c>
      <c r="H235" s="2" t="s">
        <v>18</v>
      </c>
      <c r="I235" s="2" t="s">
        <v>37</v>
      </c>
      <c r="J235" s="2" t="s">
        <v>23</v>
      </c>
      <c r="K235" s="2" t="s">
        <v>24</v>
      </c>
    </row>
    <row r="236" spans="1:11" x14ac:dyDescent="0.3">
      <c r="A236" s="2">
        <v>10694</v>
      </c>
      <c r="B236" s="3">
        <v>44920</v>
      </c>
      <c r="C236" s="3" t="str">
        <f t="shared" si="6"/>
        <v>Dec</v>
      </c>
      <c r="D236" s="2" t="s">
        <v>17</v>
      </c>
      <c r="E236" s="6">
        <v>4.99</v>
      </c>
      <c r="F236" s="8">
        <v>200.4</v>
      </c>
      <c r="G236" s="4">
        <f t="shared" si="7"/>
        <v>999.99600000000009</v>
      </c>
      <c r="H236" s="2" t="s">
        <v>18</v>
      </c>
      <c r="I236" s="2" t="s">
        <v>37</v>
      </c>
      <c r="J236" s="2" t="s">
        <v>23</v>
      </c>
      <c r="K236" s="2" t="s">
        <v>24</v>
      </c>
    </row>
    <row r="237" spans="1:11" x14ac:dyDescent="0.3">
      <c r="A237" s="2">
        <v>10695</v>
      </c>
      <c r="B237" s="3">
        <v>44921</v>
      </c>
      <c r="C237" s="3" t="str">
        <f t="shared" si="6"/>
        <v>Dec</v>
      </c>
      <c r="D237" s="2" t="s">
        <v>21</v>
      </c>
      <c r="E237" s="6">
        <v>12.99</v>
      </c>
      <c r="F237" s="8">
        <v>692.84</v>
      </c>
      <c r="G237" s="4">
        <f t="shared" si="7"/>
        <v>8999.9916000000012</v>
      </c>
      <c r="H237" s="2" t="s">
        <v>18</v>
      </c>
      <c r="I237" s="2" t="s">
        <v>37</v>
      </c>
      <c r="J237" s="2" t="s">
        <v>23</v>
      </c>
      <c r="K237" s="2" t="s">
        <v>24</v>
      </c>
    </row>
    <row r="238" spans="1:11" x14ac:dyDescent="0.3">
      <c r="A238" s="2">
        <v>10696</v>
      </c>
      <c r="B238" s="3">
        <v>44921</v>
      </c>
      <c r="C238" s="3" t="str">
        <f t="shared" si="6"/>
        <v>Dec</v>
      </c>
      <c r="D238" s="2" t="s">
        <v>25</v>
      </c>
      <c r="E238" s="6">
        <v>9.9499999999999993</v>
      </c>
      <c r="F238" s="8">
        <v>281.41000000000003</v>
      </c>
      <c r="G238" s="4">
        <f t="shared" si="7"/>
        <v>2800.0295000000001</v>
      </c>
      <c r="H238" s="2" t="s">
        <v>18</v>
      </c>
      <c r="I238" s="2" t="s">
        <v>37</v>
      </c>
      <c r="J238" s="2" t="s">
        <v>23</v>
      </c>
      <c r="K238" s="2" t="s">
        <v>24</v>
      </c>
    </row>
    <row r="239" spans="1:11" x14ac:dyDescent="0.3">
      <c r="A239" s="2">
        <v>10697</v>
      </c>
      <c r="B239" s="3">
        <v>44921</v>
      </c>
      <c r="C239" s="3" t="str">
        <f t="shared" si="6"/>
        <v>Dec</v>
      </c>
      <c r="D239" s="2" t="s">
        <v>9</v>
      </c>
      <c r="E239" s="6">
        <v>3.49</v>
      </c>
      <c r="F239" s="8">
        <v>630.37</v>
      </c>
      <c r="G239" s="4">
        <f t="shared" si="7"/>
        <v>2199.9913000000001</v>
      </c>
      <c r="H239" s="2" t="s">
        <v>18</v>
      </c>
      <c r="I239" s="2" t="s">
        <v>37</v>
      </c>
      <c r="J239" s="2" t="s">
        <v>23</v>
      </c>
      <c r="K239" s="2" t="s">
        <v>24</v>
      </c>
    </row>
    <row r="240" spans="1:11" x14ac:dyDescent="0.3">
      <c r="A240" s="2">
        <v>10698</v>
      </c>
      <c r="B240" s="3">
        <v>44921</v>
      </c>
      <c r="C240" s="3" t="str">
        <f t="shared" si="6"/>
        <v>Dec</v>
      </c>
      <c r="D240" s="2" t="s">
        <v>14</v>
      </c>
      <c r="E240" s="6">
        <v>2.95</v>
      </c>
      <c r="F240" s="8">
        <v>677.97</v>
      </c>
      <c r="G240" s="4">
        <f t="shared" si="7"/>
        <v>2000.0115000000003</v>
      </c>
      <c r="H240" s="2" t="s">
        <v>18</v>
      </c>
      <c r="I240" s="2" t="s">
        <v>37</v>
      </c>
      <c r="J240" s="2" t="s">
        <v>23</v>
      </c>
      <c r="K240" s="2" t="s">
        <v>24</v>
      </c>
    </row>
    <row r="241" spans="1:11" x14ac:dyDescent="0.3">
      <c r="A241" s="2">
        <v>10699</v>
      </c>
      <c r="B241" s="3">
        <v>44921</v>
      </c>
      <c r="C241" s="3" t="str">
        <f t="shared" si="6"/>
        <v>Dec</v>
      </c>
      <c r="D241" s="2" t="s">
        <v>17</v>
      </c>
      <c r="E241" s="6">
        <v>4.99</v>
      </c>
      <c r="F241" s="8">
        <v>200.4</v>
      </c>
      <c r="G241" s="4">
        <f t="shared" si="7"/>
        <v>999.99600000000009</v>
      </c>
      <c r="H241" s="2" t="s">
        <v>18</v>
      </c>
      <c r="I241" s="2" t="s">
        <v>37</v>
      </c>
      <c r="J241" s="2" t="s">
        <v>23</v>
      </c>
      <c r="K241" s="2" t="s">
        <v>24</v>
      </c>
    </row>
    <row r="242" spans="1:11" x14ac:dyDescent="0.3">
      <c r="A242" s="2">
        <v>10700</v>
      </c>
      <c r="B242" s="3">
        <v>44922</v>
      </c>
      <c r="C242" s="3" t="str">
        <f t="shared" si="6"/>
        <v>Dec</v>
      </c>
      <c r="D242" s="2" t="s">
        <v>21</v>
      </c>
      <c r="E242" s="6">
        <v>12.99</v>
      </c>
      <c r="F242" s="8">
        <v>692.84</v>
      </c>
      <c r="G242" s="4">
        <f t="shared" si="7"/>
        <v>8999.9916000000012</v>
      </c>
      <c r="H242" s="2" t="s">
        <v>18</v>
      </c>
      <c r="I242" s="2" t="s">
        <v>37</v>
      </c>
      <c r="J242" s="2" t="s">
        <v>23</v>
      </c>
      <c r="K242" s="2" t="s">
        <v>24</v>
      </c>
    </row>
    <row r="243" spans="1:11" x14ac:dyDescent="0.3">
      <c r="A243" s="2">
        <v>10701</v>
      </c>
      <c r="B243" s="3">
        <v>44922</v>
      </c>
      <c r="C243" s="3" t="str">
        <f t="shared" si="6"/>
        <v>Dec</v>
      </c>
      <c r="D243" s="2" t="s">
        <v>25</v>
      </c>
      <c r="E243" s="6">
        <v>9.9499999999999993</v>
      </c>
      <c r="F243" s="8">
        <v>281.41000000000003</v>
      </c>
      <c r="G243" s="4">
        <f t="shared" si="7"/>
        <v>2800.0295000000001</v>
      </c>
      <c r="H243" s="2" t="s">
        <v>18</v>
      </c>
      <c r="I243" s="2" t="s">
        <v>37</v>
      </c>
      <c r="J243" s="2" t="s">
        <v>23</v>
      </c>
      <c r="K243" s="2" t="s">
        <v>24</v>
      </c>
    </row>
    <row r="244" spans="1:11" x14ac:dyDescent="0.3">
      <c r="A244" s="2">
        <v>10702</v>
      </c>
      <c r="B244" s="3">
        <v>44922</v>
      </c>
      <c r="C244" s="3" t="str">
        <f t="shared" si="6"/>
        <v>Dec</v>
      </c>
      <c r="D244" s="2" t="s">
        <v>9</v>
      </c>
      <c r="E244" s="6">
        <v>3.49</v>
      </c>
      <c r="F244" s="8">
        <v>630.37</v>
      </c>
      <c r="G244" s="4">
        <f t="shared" si="7"/>
        <v>2199.9913000000001</v>
      </c>
      <c r="H244" s="2" t="s">
        <v>18</v>
      </c>
      <c r="I244" s="2" t="s">
        <v>37</v>
      </c>
      <c r="J244" s="2" t="s">
        <v>23</v>
      </c>
      <c r="K244" s="2" t="s">
        <v>24</v>
      </c>
    </row>
    <row r="245" spans="1:11" x14ac:dyDescent="0.3">
      <c r="A245" s="2">
        <v>10703</v>
      </c>
      <c r="B245" s="3">
        <v>44922</v>
      </c>
      <c r="C245" s="3" t="str">
        <f t="shared" si="6"/>
        <v>Dec</v>
      </c>
      <c r="D245" s="2" t="s">
        <v>14</v>
      </c>
      <c r="E245" s="6">
        <v>2.95</v>
      </c>
      <c r="F245" s="8">
        <v>677.97</v>
      </c>
      <c r="G245" s="4">
        <f t="shared" si="7"/>
        <v>2000.0115000000003</v>
      </c>
      <c r="H245" s="2" t="s">
        <v>18</v>
      </c>
      <c r="I245" s="2" t="s">
        <v>11</v>
      </c>
      <c r="J245" s="2" t="s">
        <v>23</v>
      </c>
      <c r="K245" s="2" t="s">
        <v>24</v>
      </c>
    </row>
    <row r="246" spans="1:11" x14ac:dyDescent="0.3">
      <c r="A246" s="2">
        <v>10704</v>
      </c>
      <c r="B246" s="3">
        <v>44922</v>
      </c>
      <c r="C246" s="3" t="str">
        <f t="shared" si="6"/>
        <v>Dec</v>
      </c>
      <c r="D246" s="2" t="s">
        <v>17</v>
      </c>
      <c r="E246" s="6">
        <v>4.99</v>
      </c>
      <c r="F246" s="8">
        <v>200.4</v>
      </c>
      <c r="G246" s="4">
        <f t="shared" si="7"/>
        <v>999.99600000000009</v>
      </c>
      <c r="H246" s="2" t="s">
        <v>36</v>
      </c>
      <c r="I246" s="2" t="s">
        <v>11</v>
      </c>
      <c r="J246" s="2" t="s">
        <v>23</v>
      </c>
      <c r="K246" s="2" t="s">
        <v>24</v>
      </c>
    </row>
    <row r="247" spans="1:11" x14ac:dyDescent="0.3">
      <c r="A247" s="2">
        <v>10705</v>
      </c>
      <c r="B247" s="3">
        <v>44923</v>
      </c>
      <c r="C247" s="3" t="str">
        <f t="shared" si="6"/>
        <v>Dec</v>
      </c>
      <c r="D247" s="2" t="s">
        <v>21</v>
      </c>
      <c r="E247" s="6">
        <v>12.99</v>
      </c>
      <c r="F247" s="8">
        <v>723.63</v>
      </c>
      <c r="G247" s="4">
        <f t="shared" si="7"/>
        <v>9399.9537</v>
      </c>
      <c r="H247" s="2" t="s">
        <v>36</v>
      </c>
      <c r="I247" s="2" t="s">
        <v>11</v>
      </c>
      <c r="J247" s="2" t="s">
        <v>23</v>
      </c>
      <c r="K247" s="2" t="s">
        <v>24</v>
      </c>
    </row>
    <row r="248" spans="1:11" x14ac:dyDescent="0.3">
      <c r="A248" s="2">
        <v>10706</v>
      </c>
      <c r="B248" s="3">
        <v>44923</v>
      </c>
      <c r="C248" s="3" t="str">
        <f t="shared" si="6"/>
        <v>Dec</v>
      </c>
      <c r="D248" s="2" t="s">
        <v>25</v>
      </c>
      <c r="E248" s="6">
        <v>9.9499999999999993</v>
      </c>
      <c r="F248" s="8">
        <v>301.51</v>
      </c>
      <c r="G248" s="4">
        <f t="shared" si="7"/>
        <v>3000.0244999999995</v>
      </c>
      <c r="H248" s="2" t="s">
        <v>36</v>
      </c>
      <c r="I248" s="2" t="s">
        <v>11</v>
      </c>
      <c r="J248" s="2" t="s">
        <v>23</v>
      </c>
      <c r="K248" s="2" t="s">
        <v>24</v>
      </c>
    </row>
    <row r="249" spans="1:11" x14ac:dyDescent="0.3">
      <c r="A249" s="2">
        <v>10707</v>
      </c>
      <c r="B249" s="3">
        <v>44923</v>
      </c>
      <c r="C249" s="3" t="str">
        <f t="shared" si="6"/>
        <v>Dec</v>
      </c>
      <c r="D249" s="2" t="s">
        <v>9</v>
      </c>
      <c r="E249" s="6">
        <v>3.49</v>
      </c>
      <c r="F249" s="8">
        <v>630.37</v>
      </c>
      <c r="G249" s="4">
        <f t="shared" si="7"/>
        <v>2199.9913000000001</v>
      </c>
      <c r="H249" s="2" t="s">
        <v>36</v>
      </c>
      <c r="I249" s="2" t="s">
        <v>11</v>
      </c>
      <c r="J249" s="2" t="s">
        <v>23</v>
      </c>
      <c r="K249" s="2" t="s">
        <v>24</v>
      </c>
    </row>
    <row r="250" spans="1:11" x14ac:dyDescent="0.3">
      <c r="A250" s="2">
        <v>10708</v>
      </c>
      <c r="B250" s="3">
        <v>44923</v>
      </c>
      <c r="C250" s="3" t="str">
        <f t="shared" si="6"/>
        <v>Dec</v>
      </c>
      <c r="D250" s="2" t="s">
        <v>14</v>
      </c>
      <c r="E250" s="6">
        <v>2.95</v>
      </c>
      <c r="F250" s="8">
        <v>677.97</v>
      </c>
      <c r="G250" s="4">
        <f t="shared" si="7"/>
        <v>2000.0115000000003</v>
      </c>
      <c r="H250" s="2" t="s">
        <v>36</v>
      </c>
      <c r="I250" s="2" t="s">
        <v>11</v>
      </c>
      <c r="J250" s="2" t="s">
        <v>23</v>
      </c>
      <c r="K250" s="2" t="s">
        <v>24</v>
      </c>
    </row>
    <row r="251" spans="1:11" x14ac:dyDescent="0.3">
      <c r="A251" s="2">
        <v>10709</v>
      </c>
      <c r="B251" s="3">
        <v>44923</v>
      </c>
      <c r="C251" s="3" t="str">
        <f t="shared" si="6"/>
        <v>Dec</v>
      </c>
      <c r="D251" s="2" t="s">
        <v>17</v>
      </c>
      <c r="E251" s="6">
        <v>4.99</v>
      </c>
      <c r="F251" s="8">
        <v>200.4</v>
      </c>
      <c r="G251" s="4">
        <f t="shared" si="7"/>
        <v>999.99600000000009</v>
      </c>
      <c r="H251" s="2" t="s">
        <v>36</v>
      </c>
      <c r="I251" s="2" t="s">
        <v>11</v>
      </c>
      <c r="J251" s="2" t="s">
        <v>23</v>
      </c>
      <c r="K251" s="2" t="s">
        <v>24</v>
      </c>
    </row>
    <row r="252" spans="1:11" x14ac:dyDescent="0.3">
      <c r="A252" s="2">
        <v>10710</v>
      </c>
      <c r="B252" s="3">
        <v>44924</v>
      </c>
      <c r="C252" s="3" t="str">
        <f t="shared" si="6"/>
        <v>Dec</v>
      </c>
      <c r="D252" s="2" t="s">
        <v>21</v>
      </c>
      <c r="E252" s="6">
        <v>12.99</v>
      </c>
      <c r="F252" s="8">
        <v>754.43</v>
      </c>
      <c r="G252" s="4">
        <f t="shared" si="7"/>
        <v>9800.0456999999988</v>
      </c>
      <c r="H252" s="2" t="s">
        <v>36</v>
      </c>
      <c r="I252" s="2" t="s">
        <v>11</v>
      </c>
      <c r="J252" s="2" t="s">
        <v>23</v>
      </c>
      <c r="K252" s="2" t="s">
        <v>24</v>
      </c>
    </row>
    <row r="253" spans="1:11" x14ac:dyDescent="0.3">
      <c r="A253" s="2">
        <v>10711</v>
      </c>
      <c r="B253" s="3">
        <v>44924</v>
      </c>
      <c r="C253" s="3" t="str">
        <f t="shared" si="6"/>
        <v>Dec</v>
      </c>
      <c r="D253" s="2" t="s">
        <v>25</v>
      </c>
      <c r="E253" s="6">
        <v>9.9499999999999993</v>
      </c>
      <c r="F253" s="8">
        <v>281.41000000000003</v>
      </c>
      <c r="G253" s="4">
        <f t="shared" si="7"/>
        <v>2800.0295000000001</v>
      </c>
      <c r="H253" s="2" t="s">
        <v>36</v>
      </c>
      <c r="I253" s="2" t="s">
        <v>11</v>
      </c>
      <c r="J253" s="2" t="s">
        <v>23</v>
      </c>
      <c r="K253" s="2" t="s">
        <v>24</v>
      </c>
    </row>
    <row r="254" spans="1:11" x14ac:dyDescent="0.3">
      <c r="A254" s="2">
        <v>10712</v>
      </c>
      <c r="B254" s="3">
        <v>44924</v>
      </c>
      <c r="C254" s="3" t="str">
        <f t="shared" si="6"/>
        <v>Dec</v>
      </c>
      <c r="D254" s="2" t="s">
        <v>9</v>
      </c>
      <c r="E254" s="6">
        <v>3.49</v>
      </c>
      <c r="F254" s="8">
        <v>630.37</v>
      </c>
      <c r="G254" s="4">
        <f t="shared" si="7"/>
        <v>2199.9913000000001</v>
      </c>
      <c r="H254" s="2" t="s">
        <v>36</v>
      </c>
      <c r="I254" s="2" t="s">
        <v>11</v>
      </c>
      <c r="J254" s="2" t="s">
        <v>23</v>
      </c>
      <c r="K254" s="2" t="s">
        <v>24</v>
      </c>
    </row>
    <row r="255" spans="1:11" x14ac:dyDescent="0.3">
      <c r="A255" s="2">
        <v>10713</v>
      </c>
      <c r="B255" s="3">
        <v>44924</v>
      </c>
      <c r="C255" s="3" t="str">
        <f t="shared" si="6"/>
        <v>Dec</v>
      </c>
      <c r="D255" s="2" t="s">
        <v>14</v>
      </c>
      <c r="E255" s="6">
        <v>2.95</v>
      </c>
      <c r="F255" s="8">
        <v>677.97</v>
      </c>
      <c r="G255" s="4">
        <f t="shared" si="7"/>
        <v>2000.0115000000003</v>
      </c>
      <c r="H255" s="2" t="s">
        <v>36</v>
      </c>
      <c r="I255" s="2" t="s">
        <v>11</v>
      </c>
      <c r="J255" s="2" t="s">
        <v>23</v>
      </c>
      <c r="K255" s="2"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D2FE3-F0B0-43AA-89C9-AA294CB43676}">
  <dimension ref="A1"/>
  <sheetViews>
    <sheetView showGridLines="0" zoomScale="94" workbookViewId="0">
      <selection activeCell="N14" sqref="N14"/>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20367-59F1-4CF9-8AAB-C361AF56EF78}">
  <dimension ref="A2:K18"/>
  <sheetViews>
    <sheetView tabSelected="1" workbookViewId="0">
      <selection activeCell="J17" sqref="J17"/>
    </sheetView>
  </sheetViews>
  <sheetFormatPr defaultRowHeight="14.4" x14ac:dyDescent="0.3"/>
  <cols>
    <col min="2" max="2" width="15.77734375" customWidth="1"/>
    <col min="5" max="5" width="15.21875" customWidth="1"/>
    <col min="7" max="7" width="12.5546875" bestFit="1" customWidth="1"/>
    <col min="8" max="8" width="15.6640625" bestFit="1" customWidth="1"/>
    <col min="11" max="11" width="17.6640625" customWidth="1"/>
  </cols>
  <sheetData>
    <row r="2" spans="1:11" x14ac:dyDescent="0.3">
      <c r="B2" t="s">
        <v>58</v>
      </c>
      <c r="E2" t="s">
        <v>60</v>
      </c>
      <c r="H2" t="s">
        <v>59</v>
      </c>
      <c r="K2" t="s">
        <v>63</v>
      </c>
    </row>
    <row r="3" spans="1:11" x14ac:dyDescent="0.3">
      <c r="A3" s="15" t="s">
        <v>39</v>
      </c>
      <c r="B3" t="s">
        <v>50</v>
      </c>
      <c r="D3" s="15" t="s">
        <v>39</v>
      </c>
      <c r="E3" t="s">
        <v>50</v>
      </c>
      <c r="G3" s="15" t="s">
        <v>39</v>
      </c>
      <c r="H3" t="s">
        <v>50</v>
      </c>
      <c r="J3" s="15" t="s">
        <v>39</v>
      </c>
      <c r="K3" t="s">
        <v>50</v>
      </c>
    </row>
    <row r="4" spans="1:11" x14ac:dyDescent="0.3">
      <c r="A4" s="16" t="s">
        <v>56</v>
      </c>
      <c r="B4" s="5">
        <v>16000.007300000001</v>
      </c>
      <c r="D4" s="16" t="s">
        <v>36</v>
      </c>
      <c r="E4" s="5">
        <v>178600.473</v>
      </c>
      <c r="G4" s="16" t="s">
        <v>35</v>
      </c>
      <c r="H4" s="5">
        <v>241714.11570000008</v>
      </c>
      <c r="J4" s="16" t="s">
        <v>14</v>
      </c>
      <c r="K4" s="5">
        <v>103200.26299999992</v>
      </c>
    </row>
    <row r="5" spans="1:11" x14ac:dyDescent="0.3">
      <c r="A5" s="16" t="s">
        <v>41</v>
      </c>
      <c r="B5" s="5">
        <v>16399.969400000002</v>
      </c>
      <c r="D5" s="16" t="s">
        <v>18</v>
      </c>
      <c r="E5" s="5">
        <v>285713.99940000009</v>
      </c>
      <c r="G5" s="16" t="s">
        <v>31</v>
      </c>
      <c r="H5" s="5">
        <v>136200.26649999997</v>
      </c>
      <c r="J5" s="16" t="s">
        <v>21</v>
      </c>
      <c r="K5" s="5">
        <v>376999.80689999991</v>
      </c>
    </row>
    <row r="6" spans="1:11" x14ac:dyDescent="0.3">
      <c r="A6" s="16" t="s">
        <v>42</v>
      </c>
      <c r="B6" s="5">
        <v>16599.964400000001</v>
      </c>
      <c r="D6" s="16" t="s">
        <v>10</v>
      </c>
      <c r="E6" s="5">
        <v>305201.38679999986</v>
      </c>
      <c r="G6" s="16" t="s">
        <v>28</v>
      </c>
      <c r="H6" s="5">
        <v>79800.305099999983</v>
      </c>
      <c r="J6" s="16" t="s">
        <v>25</v>
      </c>
      <c r="K6" s="5">
        <v>114641.69500000002</v>
      </c>
    </row>
    <row r="7" spans="1:11" x14ac:dyDescent="0.3">
      <c r="A7" s="16" t="s">
        <v>57</v>
      </c>
      <c r="B7" s="5">
        <v>16000.021800000002</v>
      </c>
      <c r="D7" s="16" t="s">
        <v>40</v>
      </c>
      <c r="E7" s="5">
        <v>769515.85919999995</v>
      </c>
      <c r="G7" s="16" t="s">
        <v>38</v>
      </c>
      <c r="H7" s="5">
        <v>211201.04059999986</v>
      </c>
      <c r="J7" s="16" t="s">
        <v>9</v>
      </c>
      <c r="K7" s="5">
        <v>125674.29029999988</v>
      </c>
    </row>
    <row r="8" spans="1:11" x14ac:dyDescent="0.3">
      <c r="A8" s="16" t="s">
        <v>43</v>
      </c>
      <c r="B8" s="5">
        <v>16399.983900000003</v>
      </c>
      <c r="G8" s="16" t="s">
        <v>23</v>
      </c>
      <c r="H8" s="5">
        <v>100600.13129999998</v>
      </c>
      <c r="J8" s="16" t="s">
        <v>17</v>
      </c>
      <c r="K8" s="5">
        <v>48999.803999999967</v>
      </c>
    </row>
    <row r="9" spans="1:11" x14ac:dyDescent="0.3">
      <c r="A9" s="16" t="s">
        <v>44</v>
      </c>
      <c r="B9" s="5">
        <v>16599.978900000002</v>
      </c>
      <c r="G9" s="16" t="s">
        <v>40</v>
      </c>
      <c r="H9" s="5">
        <v>769515.85919999995</v>
      </c>
      <c r="J9" s="16" t="s">
        <v>40</v>
      </c>
      <c r="K9" s="5">
        <v>769515.85919999972</v>
      </c>
    </row>
    <row r="10" spans="1:11" x14ac:dyDescent="0.3">
      <c r="A10" s="16" t="s">
        <v>45</v>
      </c>
      <c r="B10" s="5">
        <v>17000.019900000003</v>
      </c>
      <c r="E10" t="s">
        <v>61</v>
      </c>
    </row>
    <row r="11" spans="1:11" x14ac:dyDescent="0.3">
      <c r="A11" s="16" t="s">
        <v>46</v>
      </c>
      <c r="B11" s="5">
        <v>17000.019900000003</v>
      </c>
      <c r="D11" s="15" t="s">
        <v>39</v>
      </c>
      <c r="E11" t="s">
        <v>50</v>
      </c>
      <c r="H11" t="s">
        <v>62</v>
      </c>
    </row>
    <row r="12" spans="1:11" x14ac:dyDescent="0.3">
      <c r="A12" s="16" t="s">
        <v>47</v>
      </c>
      <c r="B12" s="5">
        <v>17599.976999999999</v>
      </c>
      <c r="D12" s="16" t="s">
        <v>24</v>
      </c>
      <c r="E12" s="5">
        <v>100600.13129999998</v>
      </c>
      <c r="G12" s="15" t="s">
        <v>39</v>
      </c>
      <c r="H12" t="s">
        <v>51</v>
      </c>
    </row>
    <row r="13" spans="1:11" x14ac:dyDescent="0.3">
      <c r="A13" s="16" t="s">
        <v>48</v>
      </c>
      <c r="B13" s="5">
        <v>16800.078000000001</v>
      </c>
      <c r="D13" s="16" t="s">
        <v>20</v>
      </c>
      <c r="E13" s="5">
        <v>241714.11570000008</v>
      </c>
      <c r="G13" s="16" t="s">
        <v>14</v>
      </c>
      <c r="H13" s="9">
        <v>34983.140000000007</v>
      </c>
    </row>
    <row r="14" spans="1:11" x14ac:dyDescent="0.3">
      <c r="A14" s="16" t="s">
        <v>40</v>
      </c>
      <c r="B14" s="5">
        <v>166400.02050000001</v>
      </c>
      <c r="D14" s="16" t="s">
        <v>13</v>
      </c>
      <c r="E14" s="5">
        <v>211201.04059999986</v>
      </c>
      <c r="G14" s="16" t="s">
        <v>21</v>
      </c>
      <c r="H14" s="9">
        <v>29022.309999999994</v>
      </c>
    </row>
    <row r="15" spans="1:11" x14ac:dyDescent="0.3">
      <c r="D15" s="16" t="s">
        <v>16</v>
      </c>
      <c r="E15" s="5">
        <v>136200.26649999997</v>
      </c>
      <c r="G15" s="16" t="s">
        <v>25</v>
      </c>
      <c r="H15" s="9">
        <v>11135.920000000002</v>
      </c>
    </row>
    <row r="16" spans="1:11" x14ac:dyDescent="0.3">
      <c r="D16" s="16" t="s">
        <v>27</v>
      </c>
      <c r="E16" s="5">
        <v>79800.305099999983</v>
      </c>
      <c r="G16" s="16" t="s">
        <v>9</v>
      </c>
      <c r="H16" s="9">
        <v>32034.339999999986</v>
      </c>
    </row>
    <row r="17" spans="4:8" x14ac:dyDescent="0.3">
      <c r="D17" s="16" t="s">
        <v>40</v>
      </c>
      <c r="E17" s="5">
        <v>769515.85919999983</v>
      </c>
      <c r="G17" s="16" t="s">
        <v>17</v>
      </c>
      <c r="H17" s="9">
        <v>9819.5999999999913</v>
      </c>
    </row>
    <row r="18" spans="4:8" x14ac:dyDescent="0.3">
      <c r="G18" s="16" t="s">
        <v>40</v>
      </c>
      <c r="H18" s="9">
        <v>116995.30999999997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40D34-5D84-4513-976D-42CC116FA911}">
  <dimension ref="A1"/>
  <sheetViews>
    <sheetView workbookViewId="0">
      <selection activeCell="AD9" sqref="AD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C17E3-4E67-49FC-8FDC-BC19913EB19D}">
  <dimension ref="A1:Z39"/>
  <sheetViews>
    <sheetView showGridLines="0" topLeftCell="A9" zoomScale="60" zoomScaleNormal="64" workbookViewId="0">
      <selection activeCell="AF15" sqref="AF15"/>
    </sheetView>
  </sheetViews>
  <sheetFormatPr defaultRowHeight="14.4" x14ac:dyDescent="0.3"/>
  <sheetData>
    <row r="1" spans="1:26" ht="19.8"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19" spans="21:21" x14ac:dyDescent="0.3">
      <c r="U19" t="s">
        <v>52</v>
      </c>
    </row>
    <row r="39" spans="16:16" x14ac:dyDescent="0.3">
      <c r="P39" t="s">
        <v>53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1BE07-3222-49F0-A607-BD73C7673594}">
  <dimension ref="AD8"/>
  <sheetViews>
    <sheetView workbookViewId="0">
      <selection activeCell="Q18" sqref="Q18"/>
    </sheetView>
  </sheetViews>
  <sheetFormatPr defaultRowHeight="14.4" x14ac:dyDescent="0.3"/>
  <sheetData>
    <row r="8" spans="30:30" x14ac:dyDescent="0.3">
      <c r="AD8" s="1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Cleaned Data</vt:lpstr>
      <vt:lpstr>Changelog</vt:lpstr>
      <vt:lpstr>Analysis</vt:lpstr>
      <vt:lpstr>Charts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aadhi adhil</dc:creator>
  <cp:lastModifiedBy>aadhi adhil</cp:lastModifiedBy>
  <dcterms:created xsi:type="dcterms:W3CDTF">2026-09-07T16:09:18Z</dcterms:created>
  <dcterms:modified xsi:type="dcterms:W3CDTF">2026-09-21T13:56:19Z</dcterms:modified>
</cp:coreProperties>
</file>